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F:\projects\Finance Tracker\"/>
    </mc:Choice>
  </mc:AlternateContent>
  <xr:revisionPtr revIDLastSave="0" documentId="13_ncr:1_{D0C417E2-21D9-4AA6-A8C4-72ED9B46B49C}" xr6:coauthVersionLast="47" xr6:coauthVersionMax="47" xr10:uidLastSave="{00000000-0000-0000-0000-000000000000}"/>
  <bookViews>
    <workbookView xWindow="-120" yWindow="-120" windowWidth="38640" windowHeight="21120" activeTab="1" xr2:uid="{4962A612-4D96-42AD-BD84-B90EF09B09A7}"/>
  </bookViews>
  <sheets>
    <sheet name="PORTFOLIO" sheetId="1" r:id="rId1"/>
    <sheet name="DASHBOARD" sheetId="2" r:id="rId2"/>
  </sheets>
  <definedNames>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5" i="2" l="1"/>
  <c r="E26" i="2"/>
  <c r="E27" i="2"/>
  <c r="E28" i="2"/>
  <c r="E29" i="2"/>
  <c r="E30" i="2"/>
  <c r="E31" i="2"/>
  <c r="E32" i="2"/>
  <c r="E33" i="2"/>
  <c r="E36" i="2"/>
  <c r="E37" i="2"/>
  <c r="E38" i="2"/>
  <c r="E39" i="2"/>
  <c r="E40" i="2"/>
  <c r="E41" i="2"/>
  <c r="E42" i="2"/>
  <c r="E43" i="2"/>
  <c r="E44" i="2"/>
  <c r="E45" i="2"/>
  <c r="E46" i="2"/>
  <c r="E47" i="2"/>
  <c r="E48" i="2"/>
  <c r="E49" i="2"/>
  <c r="E50" i="2"/>
  <c r="E51" i="2"/>
  <c r="E52" i="2"/>
  <c r="E24" i="2"/>
  <c r="L5" i="1"/>
  <c r="F3" i="1" a="1"/>
  <c r="F3" i="1" s="1"/>
  <c r="G3" i="1" s="1"/>
  <c r="H3" i="1" s="1"/>
  <c r="F4" i="1" a="1"/>
  <c r="F4" i="1" s="1"/>
  <c r="G4" i="1" s="1"/>
  <c r="H4" i="1" s="1"/>
  <c r="F5" i="1" a="1"/>
  <c r="F5" i="1" s="1"/>
  <c r="G5" i="1" s="1"/>
  <c r="H5" i="1" s="1"/>
  <c r="F6" i="1" a="1"/>
  <c r="F6" i="1" s="1"/>
  <c r="G6" i="1" s="1"/>
  <c r="H6" i="1" s="1"/>
  <c r="F7" i="1" a="1"/>
  <c r="F7" i="1" s="1"/>
  <c r="G7" i="1" s="1"/>
  <c r="H7" i="1" s="1"/>
  <c r="F8" i="1" a="1"/>
  <c r="F8" i="1" s="1"/>
  <c r="G8" i="1" s="1"/>
  <c r="H8" i="1" s="1"/>
  <c r="F9" i="1" a="1"/>
  <c r="F9" i="1" s="1"/>
  <c r="G9" i="1" s="1"/>
  <c r="H9" i="1" s="1"/>
  <c r="F10" i="1" a="1"/>
  <c r="F10" i="1" s="1"/>
  <c r="G10" i="1" s="1"/>
  <c r="H10" i="1" s="1"/>
  <c r="F11" i="1" a="1"/>
  <c r="F11" i="1" s="1"/>
  <c r="G11" i="1" s="1"/>
  <c r="H11" i="1" s="1"/>
  <c r="F14" i="1" a="1"/>
  <c r="F14" i="1" s="1"/>
  <c r="G14" i="1" s="1"/>
  <c r="H14" i="1" s="1"/>
  <c r="I36" i="2" s="1"/>
  <c r="F15" i="1" a="1"/>
  <c r="F15" i="1" s="1"/>
  <c r="G15" i="1" s="1"/>
  <c r="H15" i="1" s="1"/>
  <c r="I37" i="2" s="1"/>
  <c r="F16" i="1" a="1"/>
  <c r="F16" i="1" s="1"/>
  <c r="G16" i="1" s="1"/>
  <c r="H16" i="1" s="1"/>
  <c r="I38" i="2" s="1"/>
  <c r="F17" i="1" a="1"/>
  <c r="F17" i="1" s="1"/>
  <c r="G17" i="1" s="1"/>
  <c r="H17" i="1" s="1"/>
  <c r="I39" i="2" s="1"/>
  <c r="F18" i="1" a="1"/>
  <c r="F18" i="1" s="1"/>
  <c r="G18" i="1" s="1"/>
  <c r="H18" i="1" s="1"/>
  <c r="I40" i="2" s="1"/>
  <c r="F19" i="1" a="1"/>
  <c r="F19" i="1" s="1"/>
  <c r="G19" i="1" s="1"/>
  <c r="H19" i="1" s="1"/>
  <c r="I41" i="2" s="1"/>
  <c r="F20" i="1" a="1"/>
  <c r="F20" i="1" s="1"/>
  <c r="G20" i="1" s="1"/>
  <c r="H20" i="1" s="1"/>
  <c r="I42" i="2" s="1"/>
  <c r="F21" i="1" a="1"/>
  <c r="F21" i="1" s="1"/>
  <c r="G21" i="1" s="1"/>
  <c r="H21" i="1" s="1"/>
  <c r="I43" i="2" s="1"/>
  <c r="F22" i="1" a="1"/>
  <c r="F22" i="1" s="1"/>
  <c r="G22" i="1" s="1"/>
  <c r="H22" i="1" s="1"/>
  <c r="I44" i="2" s="1"/>
  <c r="F23" i="1" a="1"/>
  <c r="F23" i="1" s="1"/>
  <c r="G23" i="1" s="1"/>
  <c r="H23" i="1" s="1"/>
  <c r="I45" i="2" s="1"/>
  <c r="F24" i="1" a="1"/>
  <c r="F24" i="1" s="1"/>
  <c r="G24" i="1" s="1"/>
  <c r="H24" i="1" s="1"/>
  <c r="I46" i="2" s="1"/>
  <c r="F25" i="1" a="1"/>
  <c r="F25" i="1" s="1"/>
  <c r="G25" i="1" s="1"/>
  <c r="H25" i="1" s="1"/>
  <c r="I47" i="2" s="1"/>
  <c r="F26" i="1" a="1"/>
  <c r="F26" i="1" s="1"/>
  <c r="G26" i="1" s="1"/>
  <c r="H26" i="1" s="1"/>
  <c r="I48" i="2" s="1"/>
  <c r="F27" i="1" a="1"/>
  <c r="F27" i="1" s="1"/>
  <c r="G27" i="1" s="1"/>
  <c r="H27" i="1" s="1"/>
  <c r="I49" i="2" s="1"/>
  <c r="F28" i="1" a="1"/>
  <c r="F28" i="1" s="1"/>
  <c r="G28" i="1" s="1"/>
  <c r="H28" i="1" s="1"/>
  <c r="I50" i="2" s="1"/>
  <c r="F29" i="1" a="1"/>
  <c r="F29" i="1" s="1"/>
  <c r="G29" i="1" s="1"/>
  <c r="H29" i="1" s="1"/>
  <c r="I51" i="2" s="1"/>
  <c r="F30" i="1" a="1"/>
  <c r="F30" i="1" s="1"/>
  <c r="G30" i="1" s="1"/>
  <c r="H30" i="1" s="1"/>
  <c r="I52" i="2" s="1"/>
  <c r="F2" i="1" a="1"/>
  <c r="F2" i="1" s="1"/>
  <c r="G2" i="1" s="1"/>
  <c r="I2" i="1" s="1"/>
  <c r="C3" i="1" a="1"/>
  <c r="C3" i="1" s="1"/>
  <c r="A25" i="2" s="1"/>
  <c r="C4" i="1" a="1"/>
  <c r="C4" i="1" s="1"/>
  <c r="A26" i="2" s="1"/>
  <c r="C5" i="1" a="1"/>
  <c r="C5" i="1" s="1"/>
  <c r="A27" i="2" s="1"/>
  <c r="C6" i="1" a="1"/>
  <c r="C6" i="1" s="1"/>
  <c r="A28" i="2" s="1"/>
  <c r="C7" i="1" a="1"/>
  <c r="C7" i="1" s="1"/>
  <c r="A29" i="2" s="1"/>
  <c r="C8" i="1" a="1"/>
  <c r="C8" i="1" s="1"/>
  <c r="A30" i="2" s="1"/>
  <c r="C9" i="1" a="1"/>
  <c r="C9" i="1" s="1"/>
  <c r="A31" i="2" s="1"/>
  <c r="C10" i="1" a="1"/>
  <c r="C10" i="1" s="1"/>
  <c r="A32" i="2" s="1"/>
  <c r="C11" i="1" a="1"/>
  <c r="C11" i="1" s="1"/>
  <c r="A33" i="2" s="1"/>
  <c r="C14" i="1" a="1"/>
  <c r="C14" i="1" s="1"/>
  <c r="A36" i="2" s="1"/>
  <c r="C15" i="1" a="1"/>
  <c r="C15" i="1" s="1"/>
  <c r="A37" i="2" s="1"/>
  <c r="C16" i="1" a="1"/>
  <c r="C16" i="1" s="1"/>
  <c r="A38" i="2" s="1"/>
  <c r="C17" i="1" a="1"/>
  <c r="C17" i="1" s="1"/>
  <c r="A39" i="2" s="1"/>
  <c r="C18" i="1" a="1"/>
  <c r="C18" i="1" s="1"/>
  <c r="A40" i="2" s="1"/>
  <c r="C19" i="1" a="1"/>
  <c r="C19" i="1" s="1"/>
  <c r="A41" i="2" s="1"/>
  <c r="C20" i="1" a="1"/>
  <c r="C20" i="1" s="1"/>
  <c r="A42" i="2" s="1"/>
  <c r="C21" i="1" a="1"/>
  <c r="C21" i="1" s="1"/>
  <c r="A43" i="2" s="1"/>
  <c r="C22" i="1" a="1"/>
  <c r="C22" i="1" s="1"/>
  <c r="A44" i="2" s="1"/>
  <c r="C23" i="1" a="1"/>
  <c r="C23" i="1" s="1"/>
  <c r="A45" i="2" s="1"/>
  <c r="C24" i="1" a="1"/>
  <c r="C24" i="1" s="1"/>
  <c r="A46" i="2" s="1"/>
  <c r="C25" i="1" a="1"/>
  <c r="C25" i="1" s="1"/>
  <c r="A47" i="2" s="1"/>
  <c r="C26" i="1" a="1"/>
  <c r="C26" i="1" s="1"/>
  <c r="A48" i="2" s="1"/>
  <c r="C27" i="1" a="1"/>
  <c r="C27" i="1" s="1"/>
  <c r="A49" i="2" s="1"/>
  <c r="C28" i="1" a="1"/>
  <c r="C28" i="1" s="1"/>
  <c r="A50" i="2" s="1"/>
  <c r="C29" i="1" a="1"/>
  <c r="C29" i="1" s="1"/>
  <c r="A51" i="2" s="1"/>
  <c r="C30" i="1" a="1"/>
  <c r="C30" i="1" s="1"/>
  <c r="A52" i="2" s="1"/>
  <c r="C2" i="1" a="1"/>
  <c r="C2" i="1" s="1"/>
  <c r="A24" i="2" s="1"/>
  <c r="F48" i="2" l="1"/>
  <c r="F47" i="2"/>
  <c r="F36" i="2"/>
  <c r="F33" i="2"/>
  <c r="F46" i="2"/>
  <c r="F32" i="2"/>
  <c r="F45" i="2"/>
  <c r="F31" i="2"/>
  <c r="F44" i="2"/>
  <c r="F30" i="2"/>
  <c r="F43" i="2"/>
  <c r="F29" i="2"/>
  <c r="F42" i="2"/>
  <c r="F28" i="2"/>
  <c r="F24" i="2"/>
  <c r="F41" i="2"/>
  <c r="F27" i="2"/>
  <c r="F52" i="2"/>
  <c r="F40" i="2"/>
  <c r="F26" i="2"/>
  <c r="F51" i="2"/>
  <c r="F39" i="2"/>
  <c r="F25" i="2"/>
  <c r="F50" i="2"/>
  <c r="F38" i="2"/>
  <c r="G24" i="2" a="1"/>
  <c r="F49" i="2"/>
  <c r="F37" i="2"/>
  <c r="G36" i="2" a="1"/>
  <c r="L6" i="1"/>
  <c r="L7" i="1" s="1"/>
  <c r="L8" i="1" s="1"/>
  <c r="I27" i="1"/>
  <c r="J49" i="2" s="1"/>
  <c r="I15" i="1"/>
  <c r="J37" i="2" s="1"/>
  <c r="I28" i="1"/>
  <c r="J50" i="2" s="1"/>
  <c r="I16" i="1"/>
  <c r="J38" i="2" s="1"/>
  <c r="I26" i="1"/>
  <c r="J48" i="2" s="1"/>
  <c r="I14" i="1"/>
  <c r="J36" i="2" s="1"/>
  <c r="I25" i="1"/>
  <c r="J47" i="2" s="1"/>
  <c r="I11" i="1"/>
  <c r="I24" i="1"/>
  <c r="J46" i="2" s="1"/>
  <c r="I10" i="1"/>
  <c r="I23" i="1"/>
  <c r="J45" i="2" s="1"/>
  <c r="I9" i="1"/>
  <c r="I22" i="1"/>
  <c r="J44" i="2" s="1"/>
  <c r="I8" i="1"/>
  <c r="I21" i="1"/>
  <c r="J43" i="2" s="1"/>
  <c r="I7" i="1"/>
  <c r="H2" i="1"/>
  <c r="I24" i="2" s="1" a="1"/>
  <c r="I24" i="2" s="1"/>
  <c r="I20" i="1"/>
  <c r="J42" i="2" s="1"/>
  <c r="I6" i="1"/>
  <c r="I19" i="1"/>
  <c r="J41" i="2" s="1"/>
  <c r="I5" i="1"/>
  <c r="I30" i="1"/>
  <c r="J52" i="2" s="1"/>
  <c r="I18" i="1"/>
  <c r="J40" i="2" s="1"/>
  <c r="I4" i="1"/>
  <c r="I29" i="1"/>
  <c r="J51" i="2" s="1"/>
  <c r="I17" i="1"/>
  <c r="J39" i="2" s="1"/>
  <c r="I3" i="1"/>
  <c r="J24" i="2" l="1" a="1"/>
  <c r="J24" i="2" s="1"/>
  <c r="G36" i="2"/>
  <c r="H36" i="2" s="1"/>
  <c r="G24" i="2"/>
  <c r="H24" i="2" s="1"/>
  <c r="H32" i="2"/>
  <c r="H33" i="2"/>
  <c r="H40" i="2" l="1"/>
  <c r="H44" i="2"/>
  <c r="H43" i="2"/>
  <c r="H42" i="2"/>
  <c r="H41" i="2"/>
  <c r="H27" i="2"/>
  <c r="H52" i="2"/>
  <c r="H26" i="2"/>
  <c r="H25" i="2"/>
  <c r="H51" i="2"/>
  <c r="H47" i="2"/>
  <c r="H50" i="2"/>
  <c r="H38" i="2"/>
  <c r="H39" i="2"/>
  <c r="H45" i="2"/>
  <c r="H49" i="2"/>
  <c r="H46" i="2"/>
  <c r="H31" i="2"/>
  <c r="H48" i="2"/>
  <c r="H37" i="2"/>
  <c r="H29" i="2"/>
  <c r="H30" i="2"/>
  <c r="H28"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9"/>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futureMetadata>
  <cellMetadata count="1">
    <bk>
      <rc t="1" v="0"/>
    </bk>
  </cellMetadata>
  <valueMetadata count="2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valueMetadata>
</metadata>
</file>

<file path=xl/sharedStrings.xml><?xml version="1.0" encoding="utf-8"?>
<sst xmlns="http://schemas.openxmlformats.org/spreadsheetml/2006/main" count="54" uniqueCount="46">
  <si>
    <t>Stock Symbol</t>
  </si>
  <si>
    <t>Company Name</t>
  </si>
  <si>
    <t>Corporation</t>
  </si>
  <si>
    <t>Shares Owned</t>
  </si>
  <si>
    <t>Purchase Price</t>
  </si>
  <si>
    <t>Current Price</t>
  </si>
  <si>
    <t>Market Value</t>
  </si>
  <si>
    <t>Gain Loss ($)</t>
  </si>
  <si>
    <t>Gain Loss (%)</t>
  </si>
  <si>
    <t>SPY</t>
  </si>
  <si>
    <t>VOO</t>
  </si>
  <si>
    <t>NVDA</t>
  </si>
  <si>
    <t>QQQ</t>
  </si>
  <si>
    <t>VUG</t>
  </si>
  <si>
    <t>SCHD</t>
  </si>
  <si>
    <t>DIV</t>
  </si>
  <si>
    <t>AVGO</t>
  </si>
  <si>
    <t>HAL</t>
  </si>
  <si>
    <t>QUBT</t>
  </si>
  <si>
    <t>RTX</t>
  </si>
  <si>
    <t>JPM</t>
  </si>
  <si>
    <t>TSM</t>
  </si>
  <si>
    <t>NTDOY</t>
  </si>
  <si>
    <t>COST</t>
  </si>
  <si>
    <t>MU</t>
  </si>
  <si>
    <t>SPHD</t>
  </si>
  <si>
    <t>GOOG</t>
  </si>
  <si>
    <t>F</t>
  </si>
  <si>
    <t>WMT</t>
  </si>
  <si>
    <t>VYM</t>
  </si>
  <si>
    <t>BRK.B</t>
  </si>
  <si>
    <t>AMD</t>
  </si>
  <si>
    <t>BA</t>
  </si>
  <si>
    <t>XLI</t>
  </si>
  <si>
    <t>VTI</t>
  </si>
  <si>
    <t>GOOGL</t>
  </si>
  <si>
    <t>Total Investment</t>
  </si>
  <si>
    <t>Current Value</t>
  </si>
  <si>
    <t>Total Gain/Loss</t>
  </si>
  <si>
    <t>Return %</t>
  </si>
  <si>
    <t>Shares</t>
  </si>
  <si>
    <t>Gain Loss $</t>
  </si>
  <si>
    <t>Gain Loss %</t>
  </si>
  <si>
    <t>Exchange Traded Products</t>
  </si>
  <si>
    <t>% of Stock Portfolio</t>
  </si>
  <si>
    <t>% of ETP Portfolio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</si>
</sst>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_([$$-409]* #,##0.00_);_([$$-409]* \(#,##0.00\);_([$$-409]* &quot;-&quot;??_);_(@_)"/>
  </numFmts>
  <fonts count="6" x14ac:knownFonts="1">
    <font>
      <sz val="11"/>
      <color theme="1"/>
      <name val="Aptos Narrow"/>
      <family val="2"/>
      <scheme val="minor"/>
    </font>
    <font>
      <sz val="11"/>
      <color theme="1"/>
      <name val="Aptos Narrow"/>
      <family val="2"/>
      <scheme val="minor"/>
    </font>
    <font>
      <b/>
      <sz val="11"/>
      <color theme="0"/>
      <name val="Aptos Narrow"/>
      <family val="2"/>
      <scheme val="minor"/>
    </font>
    <font>
      <b/>
      <u/>
      <sz val="11"/>
      <color theme="1"/>
      <name val="Aptos Mono"/>
      <family val="3"/>
    </font>
    <font>
      <b/>
      <u/>
      <sz val="11"/>
      <color theme="0"/>
      <name val="Aptos Narrow"/>
      <family val="2"/>
      <scheme val="minor"/>
    </font>
    <font>
      <b/>
      <u/>
      <sz val="11"/>
      <color theme="1"/>
      <name val="Aptos Narrow"/>
      <family val="2"/>
      <scheme val="minor"/>
    </font>
  </fonts>
  <fills count="4">
    <fill>
      <patternFill patternType="none"/>
    </fill>
    <fill>
      <patternFill patternType="gray125"/>
    </fill>
    <fill>
      <patternFill patternType="solid">
        <fgColor rgb="FFA5A5A5"/>
      </patternFill>
    </fill>
    <fill>
      <patternFill patternType="solid">
        <fgColor theme="9"/>
        <bgColor indexed="64"/>
      </patternFill>
    </fill>
  </fills>
  <borders count="2">
    <border>
      <left/>
      <right/>
      <top/>
      <bottom/>
      <diagonal/>
    </border>
    <border>
      <left style="double">
        <color rgb="FF3F3F3F"/>
      </left>
      <right style="double">
        <color rgb="FF3F3F3F"/>
      </right>
      <top style="double">
        <color rgb="FF3F3F3F"/>
      </top>
      <bottom style="double">
        <color rgb="FF3F3F3F"/>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cellStyleXfs>
  <cellXfs count="16">
    <xf numFmtId="0" fontId="0" fillId="0" borderId="0" xfId="0"/>
    <xf numFmtId="0" fontId="2" fillId="2" borderId="1" xfId="3" applyAlignment="1">
      <alignment wrapText="1"/>
    </xf>
    <xf numFmtId="164" fontId="0" fillId="0" borderId="0" xfId="0" applyNumberFormat="1"/>
    <xf numFmtId="44" fontId="0" fillId="0" borderId="0" xfId="1" applyFont="1"/>
    <xf numFmtId="9" fontId="0" fillId="0" borderId="0" xfId="2" applyFont="1"/>
    <xf numFmtId="44" fontId="0" fillId="0" borderId="0" xfId="0" applyNumberFormat="1"/>
    <xf numFmtId="0" fontId="3" fillId="0" borderId="0" xfId="0" applyFont="1"/>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horizontal="center" vertical="center"/>
    </xf>
    <xf numFmtId="9" fontId="0" fillId="0" borderId="0" xfId="2" applyFont="1" applyAlignment="1">
      <alignment horizontal="center" vertical="center"/>
    </xf>
    <xf numFmtId="9" fontId="0" fillId="0" borderId="0" xfId="0" applyNumberFormat="1" applyAlignment="1">
      <alignment horizontal="center" vertical="center"/>
    </xf>
    <xf numFmtId="44" fontId="0" fillId="0" borderId="0" xfId="1" applyFont="1" applyAlignment="1">
      <alignment horizontal="center" vertical="center"/>
    </xf>
    <xf numFmtId="0" fontId="4" fillId="3" borderId="0" xfId="0" applyFont="1" applyFill="1" applyAlignment="1">
      <alignment horizontal="center" vertical="center" wrapText="1"/>
    </xf>
  </cellXfs>
  <cellStyles count="4">
    <cellStyle name="Check Cell" xfId="3" builtinId="23"/>
    <cellStyle name="Currency" xfId="1"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Stocks Gain / Loss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DASHBOARD!$A$24:$A$33</c:f>
              <c:strCache>
                <c:ptCount val="10"/>
                <c:pt idx="0">
                  <c:v>SPDR S&amp;P 500</c:v>
                </c:pt>
                <c:pt idx="1">
                  <c:v>Vanguard 500 Idx;ETF</c:v>
                </c:pt>
                <c:pt idx="2">
                  <c:v>Invesco QQQ Trust 1</c:v>
                </c:pt>
                <c:pt idx="3">
                  <c:v>Vanguard Gro Idx;ETF</c:v>
                </c:pt>
                <c:pt idx="4">
                  <c:v>Schwab Str:US Div Eq ETF</c:v>
                </c:pt>
                <c:pt idx="5">
                  <c:v>Glbl X SuperDiv US ETF</c:v>
                </c:pt>
                <c:pt idx="6">
                  <c:v>Invesco S&amp;P500 HD LV</c:v>
                </c:pt>
                <c:pt idx="7">
                  <c:v>Vanguard Hi Dv Yld;ETF</c:v>
                </c:pt>
                <c:pt idx="8">
                  <c:v>Sel Sector:Indust SPDR</c:v>
                </c:pt>
                <c:pt idx="9">
                  <c:v>Vanguard TSM Idx;ETF</c:v>
                </c:pt>
              </c:strCache>
            </c:strRef>
          </c:cat>
          <c:val>
            <c:numRef>
              <c:f>DASHBOARD!$B$24:$B$33</c:f>
              <c:numCache>
                <c:formatCode>General</c:formatCode>
                <c:ptCount val="10"/>
              </c:numCache>
            </c:numRef>
          </c:val>
          <c:extLst>
            <c:ext xmlns:c16="http://schemas.microsoft.com/office/drawing/2014/chart" uri="{C3380CC4-5D6E-409C-BE32-E72D297353CC}">
              <c16:uniqueId val="{00000000-1E12-46CE-9B12-BF9F4D4C69E4}"/>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DASHBOARD!$A$24:$A$33</c:f>
              <c:strCache>
                <c:ptCount val="10"/>
                <c:pt idx="0">
                  <c:v>SPDR S&amp;P 500</c:v>
                </c:pt>
                <c:pt idx="1">
                  <c:v>Vanguard 500 Idx;ETF</c:v>
                </c:pt>
                <c:pt idx="2">
                  <c:v>Invesco QQQ Trust 1</c:v>
                </c:pt>
                <c:pt idx="3">
                  <c:v>Vanguard Gro Idx;ETF</c:v>
                </c:pt>
                <c:pt idx="4">
                  <c:v>Schwab Str:US Div Eq ETF</c:v>
                </c:pt>
                <c:pt idx="5">
                  <c:v>Glbl X SuperDiv US ETF</c:v>
                </c:pt>
                <c:pt idx="6">
                  <c:v>Invesco S&amp;P500 HD LV</c:v>
                </c:pt>
                <c:pt idx="7">
                  <c:v>Vanguard Hi Dv Yld;ETF</c:v>
                </c:pt>
                <c:pt idx="8">
                  <c:v>Sel Sector:Indust SPDR</c:v>
                </c:pt>
                <c:pt idx="9">
                  <c:v>Vanguard TSM Idx;ETF</c:v>
                </c:pt>
              </c:strCache>
            </c:strRef>
          </c:cat>
          <c:val>
            <c:numRef>
              <c:f>DASHBOARD!$C$24:$C$33</c:f>
              <c:numCache>
                <c:formatCode>General</c:formatCode>
                <c:ptCount val="10"/>
              </c:numCache>
            </c:numRef>
          </c:val>
          <c:extLst>
            <c:ext xmlns:c16="http://schemas.microsoft.com/office/drawing/2014/chart" uri="{C3380CC4-5D6E-409C-BE32-E72D297353CC}">
              <c16:uniqueId val="{00000001-1E12-46CE-9B12-BF9F4D4C69E4}"/>
            </c:ext>
          </c:extLst>
        </c:ser>
        <c:ser>
          <c:idx val="2"/>
          <c:order val="2"/>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DASHBOARD!$A$24:$A$33</c:f>
              <c:strCache>
                <c:ptCount val="10"/>
                <c:pt idx="0">
                  <c:v>SPDR S&amp;P 500</c:v>
                </c:pt>
                <c:pt idx="1">
                  <c:v>Vanguard 500 Idx;ETF</c:v>
                </c:pt>
                <c:pt idx="2">
                  <c:v>Invesco QQQ Trust 1</c:v>
                </c:pt>
                <c:pt idx="3">
                  <c:v>Vanguard Gro Idx;ETF</c:v>
                </c:pt>
                <c:pt idx="4">
                  <c:v>Schwab Str:US Div Eq ETF</c:v>
                </c:pt>
                <c:pt idx="5">
                  <c:v>Glbl X SuperDiv US ETF</c:v>
                </c:pt>
                <c:pt idx="6">
                  <c:v>Invesco S&amp;P500 HD LV</c:v>
                </c:pt>
                <c:pt idx="7">
                  <c:v>Vanguard Hi Dv Yld;ETF</c:v>
                </c:pt>
                <c:pt idx="8">
                  <c:v>Sel Sector:Indust SPDR</c:v>
                </c:pt>
                <c:pt idx="9">
                  <c:v>Vanguard TSM Idx;ETF</c:v>
                </c:pt>
              </c:strCache>
            </c:strRef>
          </c:cat>
          <c:val>
            <c:numRef>
              <c:f>DASHBOARD!$D$24:$D$33</c:f>
              <c:numCache>
                <c:formatCode>General</c:formatCode>
                <c:ptCount val="10"/>
              </c:numCache>
            </c:numRef>
          </c:val>
          <c:extLst>
            <c:ext xmlns:c16="http://schemas.microsoft.com/office/drawing/2014/chart" uri="{C3380CC4-5D6E-409C-BE32-E72D297353CC}">
              <c16:uniqueId val="{00000002-1E12-46CE-9B12-BF9F4D4C69E4}"/>
            </c:ext>
          </c:extLst>
        </c:ser>
        <c:dLbls>
          <c:dLblPos val="outEnd"/>
          <c:showLegendKey val="0"/>
          <c:showVal val="1"/>
          <c:showCatName val="0"/>
          <c:showSerName val="0"/>
          <c:showPercent val="0"/>
          <c:showBubbleSize val="0"/>
        </c:dLbls>
        <c:gapWidth val="182"/>
        <c:axId val="293243791"/>
        <c:axId val="293244751"/>
      </c:barChart>
      <c:barChart>
        <c:barDir val="bar"/>
        <c:grouping val="clustered"/>
        <c:varyColors val="0"/>
        <c:ser>
          <c:idx val="3"/>
          <c:order val="3"/>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DASHBOARD!$A$24:$A$33</c:f>
              <c:strCache>
                <c:ptCount val="10"/>
                <c:pt idx="0">
                  <c:v>SPDR S&amp;P 500</c:v>
                </c:pt>
                <c:pt idx="1">
                  <c:v>Vanguard 500 Idx;ETF</c:v>
                </c:pt>
                <c:pt idx="2">
                  <c:v>Invesco QQQ Trust 1</c:v>
                </c:pt>
                <c:pt idx="3">
                  <c:v>Vanguard Gro Idx;ETF</c:v>
                </c:pt>
                <c:pt idx="4">
                  <c:v>Schwab Str:US Div Eq ETF</c:v>
                </c:pt>
                <c:pt idx="5">
                  <c:v>Glbl X SuperDiv US ETF</c:v>
                </c:pt>
                <c:pt idx="6">
                  <c:v>Invesco S&amp;P500 HD LV</c:v>
                </c:pt>
                <c:pt idx="7">
                  <c:v>Vanguard Hi Dv Yld;ETF</c:v>
                </c:pt>
                <c:pt idx="8">
                  <c:v>Sel Sector:Indust SPDR</c:v>
                </c:pt>
                <c:pt idx="9">
                  <c:v>Vanguard TSM Idx;ETF</c:v>
                </c:pt>
              </c:strCache>
            </c:strRef>
          </c:cat>
          <c:val>
            <c:numRef>
              <c:f>DASHBOARD!$I$24:$I$33</c:f>
              <c:numCache>
                <c:formatCode>_("$"* #,##0.00_);_("$"* \(#,##0.00\);_("$"* "-"??_);_(@_)</c:formatCode>
                <c:ptCount val="10"/>
                <c:pt idx="0">
                  <c:v>549.04999999999973</c:v>
                </c:pt>
                <c:pt idx="1">
                  <c:v>372.52</c:v>
                </c:pt>
                <c:pt idx="2">
                  <c:v>154.27999999999997</c:v>
                </c:pt>
                <c:pt idx="3">
                  <c:v>70.63</c:v>
                </c:pt>
                <c:pt idx="4">
                  <c:v>4.3499999999999943</c:v>
                </c:pt>
                <c:pt idx="5">
                  <c:v>-2.0499999999999972</c:v>
                </c:pt>
                <c:pt idx="6">
                  <c:v>46.080000000000041</c:v>
                </c:pt>
                <c:pt idx="7">
                  <c:v>6.4800000000000182</c:v>
                </c:pt>
                <c:pt idx="8">
                  <c:v>20.360000000000014</c:v>
                </c:pt>
                <c:pt idx="9">
                  <c:v>123.35000000000014</c:v>
                </c:pt>
              </c:numCache>
            </c:numRef>
          </c:val>
          <c:extLst>
            <c:ext xmlns:c16="http://schemas.microsoft.com/office/drawing/2014/chart" uri="{C3380CC4-5D6E-409C-BE32-E72D297353CC}">
              <c16:uniqueId val="{00000003-1E12-46CE-9B12-BF9F4D4C69E4}"/>
            </c:ext>
          </c:extLst>
        </c:ser>
        <c:dLbls>
          <c:showLegendKey val="0"/>
          <c:showVal val="0"/>
          <c:showCatName val="0"/>
          <c:showSerName val="0"/>
          <c:showPercent val="0"/>
          <c:showBubbleSize val="0"/>
        </c:dLbls>
        <c:gapWidth val="182"/>
        <c:axId val="293133391"/>
        <c:axId val="293127631"/>
      </c:barChart>
      <c:catAx>
        <c:axId val="2932437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244751"/>
        <c:crosses val="autoZero"/>
        <c:auto val="1"/>
        <c:lblAlgn val="ctr"/>
        <c:lblOffset val="100"/>
        <c:noMultiLvlLbl val="0"/>
      </c:catAx>
      <c:valAx>
        <c:axId val="2932447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243791"/>
        <c:crosses val="autoZero"/>
        <c:crossBetween val="between"/>
      </c:valAx>
      <c:valAx>
        <c:axId val="293127631"/>
        <c:scaling>
          <c:orientation val="minMax"/>
        </c:scaling>
        <c:delete val="0"/>
        <c:axPos val="t"/>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133391"/>
        <c:crosses val="max"/>
        <c:crossBetween val="between"/>
      </c:valAx>
      <c:catAx>
        <c:axId val="293133391"/>
        <c:scaling>
          <c:orientation val="minMax"/>
        </c:scaling>
        <c:delete val="1"/>
        <c:axPos val="l"/>
        <c:numFmt formatCode="General" sourceLinked="1"/>
        <c:majorTickMark val="out"/>
        <c:minorTickMark val="none"/>
        <c:tickLblPos val="nextTo"/>
        <c:crossAx val="293127631"/>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ETP</a:t>
            </a:r>
            <a:r>
              <a:rPr lang="en-US" baseline="0"/>
              <a:t> Gain / Loss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DASHBOARD!$A$36:$A$52</c:f>
              <c:strCache>
                <c:ptCount val="17"/>
                <c:pt idx="0">
                  <c:v>NVIDIA CORPORATION</c:v>
                </c:pt>
                <c:pt idx="1">
                  <c:v>BROADCOM INC.</c:v>
                </c:pt>
                <c:pt idx="2">
                  <c:v>HALLIBURTON COMPANY</c:v>
                </c:pt>
                <c:pt idx="3">
                  <c:v>QUANTUM COMPUTING INC.</c:v>
                </c:pt>
                <c:pt idx="4">
                  <c:v>RTX CORPORATION</c:v>
                </c:pt>
                <c:pt idx="5">
                  <c:v>JPMORGAN CHASE &amp; CO.</c:v>
                </c:pt>
                <c:pt idx="6">
                  <c:v>Taiwan Semiconductor Manufacturing Co., Ltd.</c:v>
                </c:pt>
                <c:pt idx="7">
                  <c:v>Nintendo Co., Ltd.</c:v>
                </c:pt>
                <c:pt idx="8">
                  <c:v>COSTCO WHOLESALE CORPORATION</c:v>
                </c:pt>
                <c:pt idx="9">
                  <c:v>MICRON TECHNOLOGY, INC.</c:v>
                </c:pt>
                <c:pt idx="10">
                  <c:v>ALPHABET INC.</c:v>
                </c:pt>
                <c:pt idx="11">
                  <c:v>FORD MOTOR COMPANY</c:v>
                </c:pt>
                <c:pt idx="12">
                  <c:v>WALMART INC.</c:v>
                </c:pt>
                <c:pt idx="13">
                  <c:v>BERKSHIRE HATHAWAY INC.</c:v>
                </c:pt>
                <c:pt idx="14">
                  <c:v>ADVANCED MICRO DEVICES, INC.</c:v>
                </c:pt>
                <c:pt idx="15">
                  <c:v>THE BOEING COMPANY</c:v>
                </c:pt>
                <c:pt idx="16">
                  <c:v>ALPHABET INC.</c:v>
                </c:pt>
              </c:strCache>
            </c:strRef>
          </c:cat>
          <c:val>
            <c:numRef>
              <c:f>DASHBOARD!$B$36:$B$52</c:f>
              <c:numCache>
                <c:formatCode>General</c:formatCode>
                <c:ptCount val="17"/>
              </c:numCache>
            </c:numRef>
          </c:val>
          <c:extLst>
            <c:ext xmlns:c16="http://schemas.microsoft.com/office/drawing/2014/chart" uri="{C3380CC4-5D6E-409C-BE32-E72D297353CC}">
              <c16:uniqueId val="{00000000-A384-45D9-8A21-A8A0B252F793}"/>
            </c:ext>
          </c:extLst>
        </c:ser>
        <c:ser>
          <c:idx val="1"/>
          <c:order val="1"/>
          <c:spPr>
            <a:solidFill>
              <a:schemeClr val="accent2"/>
            </a:solidFill>
            <a:ln>
              <a:noFill/>
            </a:ln>
            <a:effectLst/>
          </c:spPr>
          <c:invertIfNegative val="0"/>
          <c:cat>
            <c:strRef>
              <c:f>DASHBOARD!$A$36:$A$52</c:f>
              <c:strCache>
                <c:ptCount val="17"/>
                <c:pt idx="0">
                  <c:v>NVIDIA CORPORATION</c:v>
                </c:pt>
                <c:pt idx="1">
                  <c:v>BROADCOM INC.</c:v>
                </c:pt>
                <c:pt idx="2">
                  <c:v>HALLIBURTON COMPANY</c:v>
                </c:pt>
                <c:pt idx="3">
                  <c:v>QUANTUM COMPUTING INC.</c:v>
                </c:pt>
                <c:pt idx="4">
                  <c:v>RTX CORPORATION</c:v>
                </c:pt>
                <c:pt idx="5">
                  <c:v>JPMORGAN CHASE &amp; CO.</c:v>
                </c:pt>
                <c:pt idx="6">
                  <c:v>Taiwan Semiconductor Manufacturing Co., Ltd.</c:v>
                </c:pt>
                <c:pt idx="7">
                  <c:v>Nintendo Co., Ltd.</c:v>
                </c:pt>
                <c:pt idx="8">
                  <c:v>COSTCO WHOLESALE CORPORATION</c:v>
                </c:pt>
                <c:pt idx="9">
                  <c:v>MICRON TECHNOLOGY, INC.</c:v>
                </c:pt>
                <c:pt idx="10">
                  <c:v>ALPHABET INC.</c:v>
                </c:pt>
                <c:pt idx="11">
                  <c:v>FORD MOTOR COMPANY</c:v>
                </c:pt>
                <c:pt idx="12">
                  <c:v>WALMART INC.</c:v>
                </c:pt>
                <c:pt idx="13">
                  <c:v>BERKSHIRE HATHAWAY INC.</c:v>
                </c:pt>
                <c:pt idx="14">
                  <c:v>ADVANCED MICRO DEVICES, INC.</c:v>
                </c:pt>
                <c:pt idx="15">
                  <c:v>THE BOEING COMPANY</c:v>
                </c:pt>
                <c:pt idx="16">
                  <c:v>ALPHABET INC.</c:v>
                </c:pt>
              </c:strCache>
            </c:strRef>
          </c:cat>
          <c:val>
            <c:numRef>
              <c:f>DASHBOARD!$C$36:$C$52</c:f>
              <c:numCache>
                <c:formatCode>General</c:formatCode>
                <c:ptCount val="17"/>
              </c:numCache>
            </c:numRef>
          </c:val>
          <c:extLst>
            <c:ext xmlns:c16="http://schemas.microsoft.com/office/drawing/2014/chart" uri="{C3380CC4-5D6E-409C-BE32-E72D297353CC}">
              <c16:uniqueId val="{00000001-A384-45D9-8A21-A8A0B252F793}"/>
            </c:ext>
          </c:extLst>
        </c:ser>
        <c:ser>
          <c:idx val="2"/>
          <c:order val="2"/>
          <c:spPr>
            <a:solidFill>
              <a:schemeClr val="accent3"/>
            </a:solidFill>
            <a:ln>
              <a:noFill/>
            </a:ln>
            <a:effectLst/>
          </c:spPr>
          <c:invertIfNegative val="0"/>
          <c:cat>
            <c:strRef>
              <c:f>DASHBOARD!$A$36:$A$52</c:f>
              <c:strCache>
                <c:ptCount val="17"/>
                <c:pt idx="0">
                  <c:v>NVIDIA CORPORATION</c:v>
                </c:pt>
                <c:pt idx="1">
                  <c:v>BROADCOM INC.</c:v>
                </c:pt>
                <c:pt idx="2">
                  <c:v>HALLIBURTON COMPANY</c:v>
                </c:pt>
                <c:pt idx="3">
                  <c:v>QUANTUM COMPUTING INC.</c:v>
                </c:pt>
                <c:pt idx="4">
                  <c:v>RTX CORPORATION</c:v>
                </c:pt>
                <c:pt idx="5">
                  <c:v>JPMORGAN CHASE &amp; CO.</c:v>
                </c:pt>
                <c:pt idx="6">
                  <c:v>Taiwan Semiconductor Manufacturing Co., Ltd.</c:v>
                </c:pt>
                <c:pt idx="7">
                  <c:v>Nintendo Co., Ltd.</c:v>
                </c:pt>
                <c:pt idx="8">
                  <c:v>COSTCO WHOLESALE CORPORATION</c:v>
                </c:pt>
                <c:pt idx="9">
                  <c:v>MICRON TECHNOLOGY, INC.</c:v>
                </c:pt>
                <c:pt idx="10">
                  <c:v>ALPHABET INC.</c:v>
                </c:pt>
                <c:pt idx="11">
                  <c:v>FORD MOTOR COMPANY</c:v>
                </c:pt>
                <c:pt idx="12">
                  <c:v>WALMART INC.</c:v>
                </c:pt>
                <c:pt idx="13">
                  <c:v>BERKSHIRE HATHAWAY INC.</c:v>
                </c:pt>
                <c:pt idx="14">
                  <c:v>ADVANCED MICRO DEVICES, INC.</c:v>
                </c:pt>
                <c:pt idx="15">
                  <c:v>THE BOEING COMPANY</c:v>
                </c:pt>
                <c:pt idx="16">
                  <c:v>ALPHABET INC.</c:v>
                </c:pt>
              </c:strCache>
            </c:strRef>
          </c:cat>
          <c:val>
            <c:numRef>
              <c:f>DASHBOARD!$D$36:$D$52</c:f>
              <c:numCache>
                <c:formatCode>General</c:formatCode>
                <c:ptCount val="17"/>
              </c:numCache>
            </c:numRef>
          </c:val>
          <c:extLst>
            <c:ext xmlns:c16="http://schemas.microsoft.com/office/drawing/2014/chart" uri="{C3380CC4-5D6E-409C-BE32-E72D297353CC}">
              <c16:uniqueId val="{00000002-A384-45D9-8A21-A8A0B252F793}"/>
            </c:ext>
          </c:extLst>
        </c:ser>
        <c:dLbls>
          <c:showLegendKey val="0"/>
          <c:showVal val="0"/>
          <c:showCatName val="0"/>
          <c:showSerName val="0"/>
          <c:showPercent val="0"/>
          <c:showBubbleSize val="0"/>
        </c:dLbls>
        <c:gapWidth val="182"/>
        <c:axId val="293164591"/>
        <c:axId val="293170831"/>
      </c:barChart>
      <c:barChart>
        <c:barDir val="bar"/>
        <c:grouping val="clustered"/>
        <c:varyColors val="0"/>
        <c:ser>
          <c:idx val="3"/>
          <c:order val="3"/>
          <c:spPr>
            <a:solidFill>
              <a:schemeClr val="accent4"/>
            </a:solidFill>
            <a:ln>
              <a:noFill/>
            </a:ln>
            <a:effectLst/>
          </c:spPr>
          <c:invertIfNegative val="0"/>
          <c:cat>
            <c:strRef>
              <c:f>DASHBOARD!$A$36:$A$52</c:f>
              <c:strCache>
                <c:ptCount val="17"/>
                <c:pt idx="0">
                  <c:v>NVIDIA CORPORATION</c:v>
                </c:pt>
                <c:pt idx="1">
                  <c:v>BROADCOM INC.</c:v>
                </c:pt>
                <c:pt idx="2">
                  <c:v>HALLIBURTON COMPANY</c:v>
                </c:pt>
                <c:pt idx="3">
                  <c:v>QUANTUM COMPUTING INC.</c:v>
                </c:pt>
                <c:pt idx="4">
                  <c:v>RTX CORPORATION</c:v>
                </c:pt>
                <c:pt idx="5">
                  <c:v>JPMORGAN CHASE &amp; CO.</c:v>
                </c:pt>
                <c:pt idx="6">
                  <c:v>Taiwan Semiconductor Manufacturing Co., Ltd.</c:v>
                </c:pt>
                <c:pt idx="7">
                  <c:v>Nintendo Co., Ltd.</c:v>
                </c:pt>
                <c:pt idx="8">
                  <c:v>COSTCO WHOLESALE CORPORATION</c:v>
                </c:pt>
                <c:pt idx="9">
                  <c:v>MICRON TECHNOLOGY, INC.</c:v>
                </c:pt>
                <c:pt idx="10">
                  <c:v>ALPHABET INC.</c:v>
                </c:pt>
                <c:pt idx="11">
                  <c:v>FORD MOTOR COMPANY</c:v>
                </c:pt>
                <c:pt idx="12">
                  <c:v>WALMART INC.</c:v>
                </c:pt>
                <c:pt idx="13">
                  <c:v>BERKSHIRE HATHAWAY INC.</c:v>
                </c:pt>
                <c:pt idx="14">
                  <c:v>ADVANCED MICRO DEVICES, INC.</c:v>
                </c:pt>
                <c:pt idx="15">
                  <c:v>THE BOEING COMPANY</c:v>
                </c:pt>
                <c:pt idx="16">
                  <c:v>ALPHABET INC.</c:v>
                </c:pt>
              </c:strCache>
            </c:strRef>
          </c:cat>
          <c:val>
            <c:numRef>
              <c:f>DASHBOARD!$I$36:$I$52</c:f>
              <c:numCache>
                <c:formatCode>_("$"* #,##0.00_);_("$"* \(#,##0.00\);_("$"* "-"??_);_(@_)</c:formatCode>
                <c:ptCount val="17"/>
                <c:pt idx="0">
                  <c:v>656.39999999999986</c:v>
                </c:pt>
                <c:pt idx="1">
                  <c:v>175.82000000000005</c:v>
                </c:pt>
                <c:pt idx="2">
                  <c:v>1.0999999999999943</c:v>
                </c:pt>
                <c:pt idx="3">
                  <c:v>-37.680000000000007</c:v>
                </c:pt>
                <c:pt idx="4">
                  <c:v>-2.6800000000000068</c:v>
                </c:pt>
                <c:pt idx="5">
                  <c:v>208.98000000000002</c:v>
                </c:pt>
                <c:pt idx="6">
                  <c:v>23.5</c:v>
                </c:pt>
                <c:pt idx="7">
                  <c:v>28.980000000000018</c:v>
                </c:pt>
                <c:pt idx="8">
                  <c:v>479.25</c:v>
                </c:pt>
                <c:pt idx="9">
                  <c:v>132.14999999999998</c:v>
                </c:pt>
                <c:pt idx="10">
                  <c:v>148.47000000000003</c:v>
                </c:pt>
                <c:pt idx="11">
                  <c:v>4.740000000000002</c:v>
                </c:pt>
                <c:pt idx="12">
                  <c:v>30.580000000000013</c:v>
                </c:pt>
                <c:pt idx="13">
                  <c:v>161.55000000000018</c:v>
                </c:pt>
                <c:pt idx="14">
                  <c:v>212.75</c:v>
                </c:pt>
                <c:pt idx="15">
                  <c:v>322</c:v>
                </c:pt>
                <c:pt idx="16">
                  <c:v>39.420000000000073</c:v>
                </c:pt>
              </c:numCache>
            </c:numRef>
          </c:val>
          <c:extLst>
            <c:ext xmlns:c16="http://schemas.microsoft.com/office/drawing/2014/chart" uri="{C3380CC4-5D6E-409C-BE32-E72D297353CC}">
              <c16:uniqueId val="{00000003-A384-45D9-8A21-A8A0B252F793}"/>
            </c:ext>
          </c:extLst>
        </c:ser>
        <c:dLbls>
          <c:showLegendKey val="0"/>
          <c:showVal val="0"/>
          <c:showCatName val="0"/>
          <c:showSerName val="0"/>
          <c:showPercent val="0"/>
          <c:showBubbleSize val="0"/>
        </c:dLbls>
        <c:gapWidth val="182"/>
        <c:axId val="293130991"/>
        <c:axId val="293135791"/>
      </c:barChart>
      <c:catAx>
        <c:axId val="2931645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170831"/>
        <c:crosses val="autoZero"/>
        <c:auto val="1"/>
        <c:lblAlgn val="ctr"/>
        <c:lblOffset val="100"/>
        <c:noMultiLvlLbl val="0"/>
      </c:catAx>
      <c:valAx>
        <c:axId val="2931708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164591"/>
        <c:crosses val="autoZero"/>
        <c:crossBetween val="between"/>
      </c:valAx>
      <c:valAx>
        <c:axId val="293135791"/>
        <c:scaling>
          <c:orientation val="minMax"/>
        </c:scaling>
        <c:delete val="0"/>
        <c:axPos val="t"/>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130991"/>
        <c:crosses val="max"/>
        <c:crossBetween val="between"/>
      </c:valAx>
      <c:catAx>
        <c:axId val="293130991"/>
        <c:scaling>
          <c:orientation val="minMax"/>
        </c:scaling>
        <c:delete val="1"/>
        <c:axPos val="l"/>
        <c:numFmt formatCode="General" sourceLinked="1"/>
        <c:majorTickMark val="out"/>
        <c:minorTickMark val="none"/>
        <c:tickLblPos val="nextTo"/>
        <c:crossAx val="293135791"/>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0.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9.png"/><Relationship Id="rId5" Type="http://schemas.openxmlformats.org/officeDocument/2006/relationships/image" Target="../media/image5.png"/><Relationship Id="rId10" Type="http://schemas.openxmlformats.org/officeDocument/2006/relationships/chart" Target="../charts/chart2.xml"/><Relationship Id="rId4" Type="http://schemas.openxmlformats.org/officeDocument/2006/relationships/image" Target="../media/image4.svg"/><Relationship Id="rId9"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981074</xdr:colOff>
      <xdr:row>17</xdr:row>
      <xdr:rowOff>180974</xdr:rowOff>
    </xdr:to>
    <xdr:grpSp>
      <xdr:nvGrpSpPr>
        <xdr:cNvPr id="23" name="Group 22">
          <a:extLst>
            <a:ext uri="{FF2B5EF4-FFF2-40B4-BE49-F238E27FC236}">
              <a16:creationId xmlns:a16="http://schemas.microsoft.com/office/drawing/2014/main" id="{EFF1330D-7B6B-693B-7F8C-372BBAF722F5}"/>
            </a:ext>
          </a:extLst>
        </xdr:cNvPr>
        <xdr:cNvGrpSpPr/>
      </xdr:nvGrpSpPr>
      <xdr:grpSpPr>
        <a:xfrm>
          <a:off x="0" y="0"/>
          <a:ext cx="18792824" cy="3419474"/>
          <a:chOff x="0" y="0"/>
          <a:chExt cx="18792824" cy="3419474"/>
        </a:xfrm>
      </xdr:grpSpPr>
      <xdr:grpSp>
        <xdr:nvGrpSpPr>
          <xdr:cNvPr id="22" name="Group 21">
            <a:extLst>
              <a:ext uri="{FF2B5EF4-FFF2-40B4-BE49-F238E27FC236}">
                <a16:creationId xmlns:a16="http://schemas.microsoft.com/office/drawing/2014/main" id="{D6755064-6295-0271-D3D4-0E06BE005D47}"/>
              </a:ext>
            </a:extLst>
          </xdr:cNvPr>
          <xdr:cNvGrpSpPr/>
        </xdr:nvGrpSpPr>
        <xdr:grpSpPr>
          <a:xfrm>
            <a:off x="0" y="0"/>
            <a:ext cx="18792824" cy="3419474"/>
            <a:chOff x="0" y="0"/>
            <a:chExt cx="18792824" cy="3419474"/>
          </a:xfrm>
        </xdr:grpSpPr>
        <xdr:sp macro="" textlink="">
          <xdr:nvSpPr>
            <xdr:cNvPr id="10" name="Rectangle 9">
              <a:extLst>
                <a:ext uri="{FF2B5EF4-FFF2-40B4-BE49-F238E27FC236}">
                  <a16:creationId xmlns:a16="http://schemas.microsoft.com/office/drawing/2014/main" id="{8E6C8B9C-9E88-CED6-945F-80957F06CB63}"/>
                </a:ext>
              </a:extLst>
            </xdr:cNvPr>
            <xdr:cNvSpPr/>
          </xdr:nvSpPr>
          <xdr:spPr>
            <a:xfrm>
              <a:off x="0" y="0"/>
              <a:ext cx="18792824" cy="3419474"/>
            </a:xfrm>
            <a:prstGeom prst="rect">
              <a:avLst/>
            </a:prstGeom>
            <a:scene3d>
              <a:camera prst="orthographicFront"/>
              <a:lightRig rig="threePt" dir="t"/>
            </a:scene3d>
            <a:sp3d>
              <a:bevelT w="114300" prst="hardEdge"/>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pic>
          <xdr:nvPicPr>
            <xdr:cNvPr id="3" name="Graphic 2" descr="Dollar with solid fill">
              <a:extLst>
                <a:ext uri="{FF2B5EF4-FFF2-40B4-BE49-F238E27FC236}">
                  <a16:creationId xmlns:a16="http://schemas.microsoft.com/office/drawing/2014/main" id="{F2D872D6-FCE1-4337-0CE8-5EF7044459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353675" y="676275"/>
              <a:ext cx="914400" cy="914400"/>
            </a:xfrm>
            <a:prstGeom prst="rect">
              <a:avLst/>
            </a:prstGeom>
          </xdr:spPr>
        </xdr:pic>
        <xdr:pic>
          <xdr:nvPicPr>
            <xdr:cNvPr id="5" name="Graphic 4" descr="Bank outline">
              <a:extLst>
                <a:ext uri="{FF2B5EF4-FFF2-40B4-BE49-F238E27FC236}">
                  <a16:creationId xmlns:a16="http://schemas.microsoft.com/office/drawing/2014/main" id="{FDBBE86D-E3B6-053F-8489-49A4ADCA46A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905625" y="628650"/>
              <a:ext cx="914400" cy="914400"/>
            </a:xfrm>
            <a:prstGeom prst="rect">
              <a:avLst/>
            </a:prstGeom>
          </xdr:spPr>
        </xdr:pic>
        <xdr:pic>
          <xdr:nvPicPr>
            <xdr:cNvPr id="7" name="Graphic 6" descr="Money outline">
              <a:extLst>
                <a:ext uri="{FF2B5EF4-FFF2-40B4-BE49-F238E27FC236}">
                  <a16:creationId xmlns:a16="http://schemas.microsoft.com/office/drawing/2014/main" id="{3E2C932E-BC8D-6822-BAA4-A3A6612E326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057525" y="657225"/>
              <a:ext cx="914400" cy="914400"/>
            </a:xfrm>
            <a:prstGeom prst="rect">
              <a:avLst/>
            </a:prstGeom>
          </xdr:spPr>
        </xdr:pic>
        <xdr:pic>
          <xdr:nvPicPr>
            <xdr:cNvPr id="9" name="Graphic 8" descr="Upward trend with solid fill">
              <a:extLst>
                <a:ext uri="{FF2B5EF4-FFF2-40B4-BE49-F238E27FC236}">
                  <a16:creationId xmlns:a16="http://schemas.microsoft.com/office/drawing/2014/main" id="{6800B51C-4E34-5AF0-FE1B-2EB2C8713DC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097000" y="657225"/>
              <a:ext cx="914400" cy="914400"/>
            </a:xfrm>
            <a:prstGeom prst="rect">
              <a:avLst/>
            </a:prstGeom>
          </xdr:spPr>
        </xdr:pic>
        <xdr:sp macro="" textlink="">
          <xdr:nvSpPr>
            <xdr:cNvPr id="11" name="Rectangle 10">
              <a:extLst>
                <a:ext uri="{FF2B5EF4-FFF2-40B4-BE49-F238E27FC236}">
                  <a16:creationId xmlns:a16="http://schemas.microsoft.com/office/drawing/2014/main" id="{75BE32DF-5048-8092-E403-EA8F49638815}"/>
                </a:ext>
              </a:extLst>
            </xdr:cNvPr>
            <xdr:cNvSpPr/>
          </xdr:nvSpPr>
          <xdr:spPr>
            <a:xfrm>
              <a:off x="3295650" y="1905000"/>
              <a:ext cx="2038349" cy="1047750"/>
            </a:xfrm>
            <a:prstGeom prst="rect">
              <a:avLst/>
            </a:prstGeom>
            <a:scene3d>
              <a:camera prst="orthographicFront"/>
              <a:lightRig rig="threePt" dir="t"/>
            </a:scene3d>
            <a:sp3d>
              <a:bevelT w="114300" prst="hardEdge"/>
            </a:sp3d>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2000" b="0" u="none">
                  <a:latin typeface="Aptos Mono" panose="020B0009020202020204" pitchFamily="49" charset="0"/>
                  <a:cs typeface="Khmer UI" panose="020F0502020204030204" pitchFamily="34" charset="0"/>
                </a:rPr>
                <a:t>Initial Investment</a:t>
              </a:r>
            </a:p>
          </xdr:txBody>
        </xdr:sp>
        <xdr:sp macro="" textlink="">
          <xdr:nvSpPr>
            <xdr:cNvPr id="12" name="Rectangle 11">
              <a:extLst>
                <a:ext uri="{FF2B5EF4-FFF2-40B4-BE49-F238E27FC236}">
                  <a16:creationId xmlns:a16="http://schemas.microsoft.com/office/drawing/2014/main" id="{7F367A4B-F2A7-4C31-8BB6-E96350AC241C}"/>
                </a:ext>
              </a:extLst>
            </xdr:cNvPr>
            <xdr:cNvSpPr/>
          </xdr:nvSpPr>
          <xdr:spPr>
            <a:xfrm>
              <a:off x="7248525" y="1895475"/>
              <a:ext cx="2038349" cy="1047750"/>
            </a:xfrm>
            <a:prstGeom prst="rect">
              <a:avLst/>
            </a:prstGeom>
            <a:scene3d>
              <a:camera prst="orthographicFront"/>
              <a:lightRig rig="threePt" dir="t"/>
            </a:scene3d>
            <a:sp3d>
              <a:bevelT w="114300" prst="hardEdge"/>
            </a:sp3d>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2000" b="0" u="none">
                  <a:latin typeface="Aptos Mono" panose="020B0009020202020204" pitchFamily="49" charset="0"/>
                  <a:cs typeface="Khmer UI" panose="020F0502020204030204" pitchFamily="34" charset="0"/>
                </a:rPr>
                <a:t>Current Value</a:t>
              </a:r>
            </a:p>
          </xdr:txBody>
        </xdr:sp>
        <xdr:sp macro="" textlink="">
          <xdr:nvSpPr>
            <xdr:cNvPr id="14" name="Rectangle 13">
              <a:extLst>
                <a:ext uri="{FF2B5EF4-FFF2-40B4-BE49-F238E27FC236}">
                  <a16:creationId xmlns:a16="http://schemas.microsoft.com/office/drawing/2014/main" id="{463638ED-96FB-4695-B709-A122E61988B9}"/>
                </a:ext>
              </a:extLst>
            </xdr:cNvPr>
            <xdr:cNvSpPr/>
          </xdr:nvSpPr>
          <xdr:spPr>
            <a:xfrm>
              <a:off x="14525625" y="1943100"/>
              <a:ext cx="2038349" cy="1047750"/>
            </a:xfrm>
            <a:prstGeom prst="rect">
              <a:avLst/>
            </a:prstGeom>
            <a:scene3d>
              <a:camera prst="orthographicFront"/>
              <a:lightRig rig="threePt" dir="t"/>
            </a:scene3d>
            <a:sp3d>
              <a:bevelT w="114300" prst="hardEdge"/>
            </a:sp3d>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2000" b="0" u="none">
                  <a:latin typeface="Aptos Mono" panose="020B0009020202020204" pitchFamily="49" charset="0"/>
                  <a:cs typeface="Khmer UI" panose="020F0502020204030204" pitchFamily="34" charset="0"/>
                </a:rPr>
                <a:t>Total</a:t>
              </a:r>
              <a:r>
                <a:rPr lang="en-US" sz="2000" b="0" u="none" baseline="0">
                  <a:latin typeface="Aptos Mono" panose="020B0009020202020204" pitchFamily="49" charset="0"/>
                  <a:cs typeface="Khmer UI" panose="020F0502020204030204" pitchFamily="34" charset="0"/>
                </a:rPr>
                <a:t> Change</a:t>
              </a:r>
              <a:endParaRPr lang="en-US" sz="2000" b="0" u="none">
                <a:latin typeface="Aptos Mono" panose="020B0009020202020204" pitchFamily="49" charset="0"/>
                <a:cs typeface="Khmer UI" panose="020F0502020204030204" pitchFamily="34" charset="0"/>
              </a:endParaRPr>
            </a:p>
          </xdr:txBody>
        </xdr:sp>
        <xdr:sp macro="" textlink="">
          <xdr:nvSpPr>
            <xdr:cNvPr id="15" name="Rectangle 14">
              <a:extLst>
                <a:ext uri="{FF2B5EF4-FFF2-40B4-BE49-F238E27FC236}">
                  <a16:creationId xmlns:a16="http://schemas.microsoft.com/office/drawing/2014/main" id="{EDF52C35-C457-4270-85A3-D87573ACF768}"/>
                </a:ext>
              </a:extLst>
            </xdr:cNvPr>
            <xdr:cNvSpPr/>
          </xdr:nvSpPr>
          <xdr:spPr>
            <a:xfrm>
              <a:off x="476251" y="276225"/>
              <a:ext cx="2000250" cy="1047750"/>
            </a:xfrm>
            <a:prstGeom prst="rect">
              <a:avLst/>
            </a:prstGeom>
            <a:scene3d>
              <a:camera prst="orthographicFront"/>
              <a:lightRig rig="threePt" dir="t"/>
            </a:scene3d>
            <a:sp3d>
              <a:bevelT w="114300" prst="hardEdge"/>
            </a:sp3d>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2000" b="0" u="none">
                  <a:latin typeface="Aptos Mono" panose="020B0009020202020204" pitchFamily="49" charset="0"/>
                  <a:cs typeface="Khmer UI" panose="020F0502020204030204" pitchFamily="34" charset="0"/>
                </a:rPr>
                <a:t>Portfolio</a:t>
              </a:r>
              <a:r>
                <a:rPr lang="en-US" sz="2000" b="0" u="none" baseline="0">
                  <a:latin typeface="Aptos Mono" panose="020B0009020202020204" pitchFamily="49" charset="0"/>
                  <a:cs typeface="Khmer UI" panose="020F0502020204030204" pitchFamily="34" charset="0"/>
                </a:rPr>
                <a:t> Tracker</a:t>
              </a:r>
              <a:endParaRPr lang="en-US" sz="2000" b="0" u="none">
                <a:latin typeface="Aptos Mono" panose="020B0009020202020204" pitchFamily="49" charset="0"/>
                <a:cs typeface="Khmer UI" panose="020F0502020204030204" pitchFamily="34" charset="0"/>
              </a:endParaRPr>
            </a:p>
          </xdr:txBody>
        </xdr:sp>
        <xdr:sp macro="" textlink="PORTFOLIO!L5">
          <xdr:nvSpPr>
            <xdr:cNvPr id="16" name="Rectangle 15">
              <a:extLst>
                <a:ext uri="{FF2B5EF4-FFF2-40B4-BE49-F238E27FC236}">
                  <a16:creationId xmlns:a16="http://schemas.microsoft.com/office/drawing/2014/main" id="{BE7BC358-DCBB-47DA-870E-A21054FBDDC0}"/>
                </a:ext>
              </a:extLst>
            </xdr:cNvPr>
            <xdr:cNvSpPr/>
          </xdr:nvSpPr>
          <xdr:spPr>
            <a:xfrm>
              <a:off x="4276725" y="581025"/>
              <a:ext cx="2038349" cy="1047750"/>
            </a:xfrm>
            <a:prstGeom prst="rect">
              <a:avLst/>
            </a:prstGeom>
            <a:scene3d>
              <a:camera prst="orthographicFront"/>
              <a:lightRig rig="threePt" dir="t"/>
            </a:scene3d>
            <a:sp3d>
              <a:bevelT w="114300" prst="hardEdge"/>
            </a:sp3d>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fld id="{D5C8F1EF-E49B-44AE-95A1-E6957426B0A2}" type="TxLink">
                <a:rPr lang="en-US" sz="2000" b="1" i="0" u="none" strike="noStrike">
                  <a:solidFill>
                    <a:schemeClr val="bg1"/>
                  </a:solidFill>
                  <a:effectLst/>
                  <a:latin typeface="Aptos Narrow"/>
                  <a:cs typeface="Khmer UI" panose="020F0502020204030204" pitchFamily="34" charset="0"/>
                </a:rPr>
                <a:t> $22,808.00 </a:t>
              </a:fld>
              <a:endParaRPr lang="en-US" sz="4000" b="1" u="none">
                <a:solidFill>
                  <a:schemeClr val="bg1"/>
                </a:solidFill>
                <a:effectLst/>
                <a:latin typeface="Aptos Mono" panose="020B0009020202020204" pitchFamily="49" charset="0"/>
                <a:cs typeface="Khmer UI" panose="020F0502020204030204" pitchFamily="34" charset="0"/>
              </a:endParaRPr>
            </a:p>
          </xdr:txBody>
        </xdr:sp>
        <xdr:sp macro="" textlink="PORTFOLIO!L6">
          <xdr:nvSpPr>
            <xdr:cNvPr id="17" name="Rectangle 16">
              <a:extLst>
                <a:ext uri="{FF2B5EF4-FFF2-40B4-BE49-F238E27FC236}">
                  <a16:creationId xmlns:a16="http://schemas.microsoft.com/office/drawing/2014/main" id="{CCAB3A83-A1EC-4203-994E-E27116C1E630}"/>
                </a:ext>
              </a:extLst>
            </xdr:cNvPr>
            <xdr:cNvSpPr/>
          </xdr:nvSpPr>
          <xdr:spPr>
            <a:xfrm>
              <a:off x="8067675" y="552450"/>
              <a:ext cx="2038349" cy="1047750"/>
            </a:xfrm>
            <a:prstGeom prst="rect">
              <a:avLst/>
            </a:prstGeom>
            <a:scene3d>
              <a:camera prst="orthographicFront"/>
              <a:lightRig rig="threePt" dir="t"/>
            </a:scene3d>
            <a:sp3d>
              <a:bevelT w="114300" prst="hardEdge"/>
            </a:sp3d>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fld id="{CC320184-AA7E-4F44-9454-0915D121441B}" type="TxLink">
                <a:rPr lang="en-US" sz="2000" b="1" i="0" u="none" strike="noStrike">
                  <a:solidFill>
                    <a:schemeClr val="bg1"/>
                  </a:solidFill>
                  <a:latin typeface="Aptos Narrow"/>
                  <a:cs typeface="Khmer UI" panose="020F0502020204030204" pitchFamily="34" charset="0"/>
                </a:rPr>
                <a:t> $26,738.38 </a:t>
              </a:fld>
              <a:endParaRPr lang="en-US" sz="4000" b="1" u="none">
                <a:solidFill>
                  <a:schemeClr val="bg1"/>
                </a:solidFill>
                <a:latin typeface="Aptos Mono" panose="020B0009020202020204" pitchFamily="49" charset="0"/>
                <a:cs typeface="Khmer UI" panose="020F0502020204030204" pitchFamily="34" charset="0"/>
              </a:endParaRPr>
            </a:p>
          </xdr:txBody>
        </xdr:sp>
        <xdr:sp macro="" textlink="PORTFOLIO!L7">
          <xdr:nvSpPr>
            <xdr:cNvPr id="18" name="Rectangle 17">
              <a:extLst>
                <a:ext uri="{FF2B5EF4-FFF2-40B4-BE49-F238E27FC236}">
                  <a16:creationId xmlns:a16="http://schemas.microsoft.com/office/drawing/2014/main" id="{EA70E2B4-E7A5-4CCE-9E55-CE43B7E40E20}"/>
                </a:ext>
              </a:extLst>
            </xdr:cNvPr>
            <xdr:cNvSpPr/>
          </xdr:nvSpPr>
          <xdr:spPr>
            <a:xfrm>
              <a:off x="11601450" y="561975"/>
              <a:ext cx="2038349" cy="1047750"/>
            </a:xfrm>
            <a:prstGeom prst="rect">
              <a:avLst/>
            </a:prstGeom>
            <a:scene3d>
              <a:camera prst="orthographicFront"/>
              <a:lightRig rig="threePt" dir="t"/>
            </a:scene3d>
            <a:sp3d>
              <a:bevelT w="114300" prst="hardEdge"/>
            </a:sp3d>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fld id="{F8995554-2221-48CB-98B3-0DC7C7D859F4}" type="TxLink">
                <a:rPr lang="en-US" sz="2000" b="1" i="0" u="none" strike="noStrike">
                  <a:solidFill>
                    <a:schemeClr val="bg1"/>
                  </a:solidFill>
                  <a:latin typeface="Aptos Narrow"/>
                  <a:cs typeface="Khmer UI" panose="020F0502020204030204" pitchFamily="34" charset="0"/>
                </a:rPr>
                <a:t> $3,930.38 </a:t>
              </a:fld>
              <a:endParaRPr lang="en-US" sz="4000" b="1" u="none">
                <a:solidFill>
                  <a:schemeClr val="bg1"/>
                </a:solidFill>
                <a:latin typeface="Aptos Mono" panose="020B0009020202020204" pitchFamily="49" charset="0"/>
                <a:cs typeface="Khmer UI" panose="020F0502020204030204" pitchFamily="34" charset="0"/>
              </a:endParaRPr>
            </a:p>
          </xdr:txBody>
        </xdr:sp>
        <xdr:sp macro="" textlink="PORTFOLIO!L8">
          <xdr:nvSpPr>
            <xdr:cNvPr id="19" name="Rectangle 18">
              <a:extLst>
                <a:ext uri="{FF2B5EF4-FFF2-40B4-BE49-F238E27FC236}">
                  <a16:creationId xmlns:a16="http://schemas.microsoft.com/office/drawing/2014/main" id="{1C5C4767-D9F1-445B-92A7-C1B0D4BD5456}"/>
                </a:ext>
              </a:extLst>
            </xdr:cNvPr>
            <xdr:cNvSpPr/>
          </xdr:nvSpPr>
          <xdr:spPr>
            <a:xfrm>
              <a:off x="15325725" y="571500"/>
              <a:ext cx="2038349" cy="1047750"/>
            </a:xfrm>
            <a:prstGeom prst="rect">
              <a:avLst/>
            </a:prstGeom>
            <a:scene3d>
              <a:camera prst="orthographicFront"/>
              <a:lightRig rig="threePt" dir="t"/>
            </a:scene3d>
            <a:sp3d>
              <a:bevelT w="114300" prst="hardEdge"/>
            </a:sp3d>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fld id="{84BCAB41-50EB-4A9D-9BA2-6D2EE3AA7218}" type="TxLink">
                <a:rPr lang="en-US" sz="2000" b="1" i="0" u="none" strike="noStrike">
                  <a:solidFill>
                    <a:schemeClr val="bg1"/>
                  </a:solidFill>
                  <a:latin typeface="Aptos Narrow"/>
                  <a:cs typeface="Khmer UI" panose="020F0502020204030204" pitchFamily="34" charset="0"/>
                </a:rPr>
                <a:t>17%</a:t>
              </a:fld>
              <a:endParaRPr lang="en-US" sz="4000" b="1" u="none">
                <a:solidFill>
                  <a:schemeClr val="bg1"/>
                </a:solidFill>
                <a:latin typeface="Aptos Mono" panose="020B0009020202020204" pitchFamily="49" charset="0"/>
                <a:cs typeface="Khmer UI" panose="020F0502020204030204" pitchFamily="34" charset="0"/>
              </a:endParaRPr>
            </a:p>
          </xdr:txBody>
        </xdr:sp>
      </xdr:grpSp>
      <xdr:sp macro="" textlink="">
        <xdr:nvSpPr>
          <xdr:cNvPr id="13" name="Rectangle 12">
            <a:extLst>
              <a:ext uri="{FF2B5EF4-FFF2-40B4-BE49-F238E27FC236}">
                <a16:creationId xmlns:a16="http://schemas.microsoft.com/office/drawing/2014/main" id="{652B7402-B4ED-4454-ABA2-E758EAA13162}"/>
              </a:ext>
            </a:extLst>
          </xdr:cNvPr>
          <xdr:cNvSpPr/>
        </xdr:nvSpPr>
        <xdr:spPr>
          <a:xfrm>
            <a:off x="10810875" y="1914525"/>
            <a:ext cx="2038349" cy="1047750"/>
          </a:xfrm>
          <a:prstGeom prst="rect">
            <a:avLst/>
          </a:prstGeom>
          <a:scene3d>
            <a:camera prst="orthographicFront"/>
            <a:lightRig rig="threePt" dir="t"/>
          </a:scene3d>
          <a:sp3d>
            <a:bevelT w="114300" prst="hardEdge"/>
          </a:sp3d>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2000" b="0" u="none">
                <a:latin typeface="Aptos Mono" panose="020B0009020202020204" pitchFamily="49" charset="0"/>
                <a:cs typeface="Khmer UI" panose="020F0502020204030204" pitchFamily="34" charset="0"/>
              </a:rPr>
              <a:t>Total Return</a:t>
            </a:r>
          </a:p>
        </xdr:txBody>
      </xdr:sp>
    </xdr:grpSp>
    <xdr:clientData/>
  </xdr:twoCellAnchor>
  <xdr:twoCellAnchor>
    <xdr:from>
      <xdr:col>10</xdr:col>
      <xdr:colOff>61911</xdr:colOff>
      <xdr:row>19</xdr:row>
      <xdr:rowOff>19050</xdr:rowOff>
    </xdr:from>
    <xdr:to>
      <xdr:col>20</xdr:col>
      <xdr:colOff>19050</xdr:colOff>
      <xdr:row>35</xdr:row>
      <xdr:rowOff>47625</xdr:rowOff>
    </xdr:to>
    <xdr:graphicFrame macro="">
      <xdr:nvGraphicFramePr>
        <xdr:cNvPr id="20" name="Chart 19">
          <a:extLst>
            <a:ext uri="{FF2B5EF4-FFF2-40B4-BE49-F238E27FC236}">
              <a16:creationId xmlns:a16="http://schemas.microsoft.com/office/drawing/2014/main" id="{E0EBA7AA-7F1F-8813-2D31-9A38014F27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66674</xdr:colOff>
      <xdr:row>35</xdr:row>
      <xdr:rowOff>61911</xdr:rowOff>
    </xdr:from>
    <xdr:to>
      <xdr:col>20</xdr:col>
      <xdr:colOff>47625</xdr:colOff>
      <xdr:row>60</xdr:row>
      <xdr:rowOff>0</xdr:rowOff>
    </xdr:to>
    <xdr:graphicFrame macro="">
      <xdr:nvGraphicFramePr>
        <xdr:cNvPr id="21" name="Chart 20">
          <a:extLst>
            <a:ext uri="{FF2B5EF4-FFF2-40B4-BE49-F238E27FC236}">
              <a16:creationId xmlns:a16="http://schemas.microsoft.com/office/drawing/2014/main" id="{4BFD806E-7D37-5641-B201-5D4058EC44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219076</xdr:colOff>
      <xdr:row>9</xdr:row>
      <xdr:rowOff>76200</xdr:rowOff>
    </xdr:from>
    <xdr:to>
      <xdr:col>2</xdr:col>
      <xdr:colOff>790576</xdr:colOff>
      <xdr:row>15</xdr:row>
      <xdr:rowOff>57150</xdr:rowOff>
    </xdr:to>
    <xdr:grpSp>
      <xdr:nvGrpSpPr>
        <xdr:cNvPr id="31" name="Group 30">
          <a:extLst>
            <a:ext uri="{FF2B5EF4-FFF2-40B4-BE49-F238E27FC236}">
              <a16:creationId xmlns:a16="http://schemas.microsoft.com/office/drawing/2014/main" id="{791FD911-F762-3C74-05FE-3D5112D4D956}"/>
            </a:ext>
          </a:extLst>
        </xdr:cNvPr>
        <xdr:cNvGrpSpPr/>
      </xdr:nvGrpSpPr>
      <xdr:grpSpPr>
        <a:xfrm>
          <a:off x="219076" y="1790700"/>
          <a:ext cx="2667000" cy="1123950"/>
          <a:chOff x="219076" y="1790700"/>
          <a:chExt cx="2667000" cy="1123950"/>
        </a:xfrm>
      </xdr:grpSpPr>
      <xdr:sp macro="[0]!Module2.RefreshAll" textlink="">
        <xdr:nvSpPr>
          <xdr:cNvPr id="26" name="Rectangle 25">
            <a:extLst>
              <a:ext uri="{FF2B5EF4-FFF2-40B4-BE49-F238E27FC236}">
                <a16:creationId xmlns:a16="http://schemas.microsoft.com/office/drawing/2014/main" id="{9DD4F2A7-4BE6-1DF2-5ED5-1AB1AC6B7D4E}"/>
              </a:ext>
            </a:extLst>
          </xdr:cNvPr>
          <xdr:cNvSpPr/>
        </xdr:nvSpPr>
        <xdr:spPr>
          <a:xfrm>
            <a:off x="219076" y="1790700"/>
            <a:ext cx="2667000" cy="1123950"/>
          </a:xfrm>
          <a:prstGeom prst="rect">
            <a:avLst/>
          </a:prstGeom>
          <a:solidFill>
            <a:schemeClr val="accent6">
              <a:lumMod val="60000"/>
              <a:lumOff val="40000"/>
            </a:schemeClr>
          </a:solidFill>
          <a:effectLst>
            <a:softEdge rad="12700"/>
          </a:effectLst>
          <a:scene3d>
            <a:camera prst="orthographicFront"/>
            <a:lightRig rig="threePt" dir="t"/>
          </a:scene3d>
          <a:sp3d>
            <a:bevelT w="114300" prst="hardEdge"/>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pic macro="[0]!Module2.RefreshAll">
        <xdr:nvPicPr>
          <xdr:cNvPr id="25" name="Graphic 24" descr="Repeat with solid fill">
            <a:extLst>
              <a:ext uri="{FF2B5EF4-FFF2-40B4-BE49-F238E27FC236}">
                <a16:creationId xmlns:a16="http://schemas.microsoft.com/office/drawing/2014/main" id="{F00B5EF5-3A9E-2213-F585-B6DB0C125C7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809750" y="1847850"/>
            <a:ext cx="914400" cy="914400"/>
          </a:xfrm>
          <a:prstGeom prst="rect">
            <a:avLst/>
          </a:prstGeom>
        </xdr:spPr>
      </xdr:pic>
      <xdr:sp macro="[0]!Module2.RefreshAll" textlink="">
        <xdr:nvSpPr>
          <xdr:cNvPr id="30" name="TextBox 29">
            <a:extLst>
              <a:ext uri="{FF2B5EF4-FFF2-40B4-BE49-F238E27FC236}">
                <a16:creationId xmlns:a16="http://schemas.microsoft.com/office/drawing/2014/main" id="{4F4308C8-FD76-57FD-8775-A78A4093B638}"/>
              </a:ext>
            </a:extLst>
          </xdr:cNvPr>
          <xdr:cNvSpPr txBox="1"/>
        </xdr:nvSpPr>
        <xdr:spPr>
          <a:xfrm>
            <a:off x="476250" y="2095500"/>
            <a:ext cx="1238250" cy="533399"/>
          </a:xfrm>
          <a:prstGeom prst="rect">
            <a:avLst/>
          </a:prstGeom>
          <a:solidFill>
            <a:schemeClr val="accent6">
              <a:lumMod val="60000"/>
              <a:lumOff val="40000"/>
            </a:schemeClr>
          </a:solidFill>
          <a:ln w="9525" cmpd="sng">
            <a:solidFill>
              <a:schemeClr val="accent6">
                <a:lumMod val="60000"/>
                <a:lumOff val="40000"/>
              </a:schemeClr>
            </a:solidFill>
          </a:ln>
          <a:scene3d>
            <a:camera prst="orthographicFront"/>
            <a:lightRig rig="threePt" dir="t"/>
          </a:scene3d>
          <a:sp3d>
            <a:bevelT prst="convex"/>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t>Refresh</a:t>
            </a:r>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85">
  <rv s="0">
    <v>https://www.bing.com/financeapi/forcetrigger?t=a23hqh&amp;q=ARCX%3aSPY&amp;form=skydnc</v>
    <v>Learn more on Bing</v>
  </rv>
  <rv s="1">
    <v>en-US</v>
    <v>a23hqh</v>
    <v>268435456</v>
    <v>1</v>
    <v>Powered by Refinitiv</v>
    <v>0</v>
    <v>SPDR S&amp;P 500 (ARCX:SPY)</v>
    <v>2</v>
    <v>3</v>
    <v>Finance</v>
    <v>4</v>
    <v>646.19000000000005</v>
    <v>481.8</v>
    <v>0.99839999999999995</v>
    <v>-3.49</v>
    <v>-5.4250000000000001E-3</v>
    <v>USD</v>
    <v>NYSE Arca</v>
    <v>ARCX</v>
    <v>9.4499999999999998E-4</v>
    <v>644.10500000000002</v>
    <v>ETF</v>
    <v>45889.000000068751</v>
    <v>0</v>
    <v>638.48</v>
    <v>652629794838.14001</v>
    <v>SPDR S&amp;P 500</v>
    <v>643.12</v>
    <v>643.29999999999995</v>
    <v>639.80999999999995</v>
    <v>SPY</v>
    <v>SPDR S&amp;P 500 (ARCX:SPY)</v>
    <v>115888</v>
    <v>70342563</v>
  </rv>
  <rv s="2">
    <v>1</v>
  </rv>
  <rv s="0">
    <v>https://www.bing.com/financeapi/forcetrigger?t=a25hm7&amp;q=ARCX%3aVOO&amp;form=skydnc</v>
    <v>Learn more on Bing</v>
  </rv>
  <rv s="1">
    <v>en-US</v>
    <v>a25hm7</v>
    <v>268435456</v>
    <v>1</v>
    <v>Powered by Refinitiv</v>
    <v>0</v>
    <v>Vanguard 500 Idx;ETF (ARCX:VOO)</v>
    <v>2</v>
    <v>3</v>
    <v>Finance</v>
    <v>4</v>
    <v>594.03</v>
    <v>442.8</v>
    <v>1.0003</v>
    <v>-3.23</v>
    <v>-5.4619999999999998E-3</v>
    <v>USD</v>
    <v>NYSE Arca</v>
    <v>ARCX</v>
    <v>2.9999999999999997E-4</v>
    <v>592.12</v>
    <v>ETF</v>
    <v>45889.000000080472</v>
    <v>3</v>
    <v>586.94000000000005</v>
    <v>710873279261</v>
    <v>Vanguard 500 Idx;ETF</v>
    <v>591.25</v>
    <v>591.36</v>
    <v>588.13</v>
    <v>VOO</v>
    <v>Vanguard 500 Idx;ETF (ARCX:VOO)</v>
    <v>20473</v>
    <v>5499684</v>
  </rv>
  <rv s="2">
    <v>4</v>
  </rv>
  <rv s="0">
    <v>https://www.bing.com/financeapi/forcetrigger?t=a21mim&amp;q=XNAS%3aQQQ&amp;form=skydnc</v>
    <v>Learn more on Bing</v>
  </rv>
  <rv s="1">
    <v>en-US</v>
    <v>a21mim</v>
    <v>268435456</v>
    <v>1</v>
    <v>Powered by Refinitiv</v>
    <v>0</v>
    <v>Invesco QQQ Trust 1 (XNAS:QQQ)</v>
    <v>2</v>
    <v>3</v>
    <v>Finance</v>
    <v>4</v>
    <v>583.31989999999996</v>
    <v>402.39</v>
    <v>1.0338000000000001</v>
    <v>-7.83</v>
    <v>-1.3568E-2</v>
    <v>USD</v>
    <v>Nasdaq Stock Market</v>
    <v>XNAS</v>
    <v>2E-3</v>
    <v>576.55999999999995</v>
    <v>ETF</v>
    <v>45888.999998020314</v>
    <v>6</v>
    <v>568.25</v>
    <v>360630307885.59003</v>
    <v>Invesco QQQ Trust 1</v>
    <v>576.39</v>
    <v>577.11</v>
    <v>569.28</v>
    <v>QQQ</v>
    <v>Invesco QQQ Trust 1 (XNAS:QQQ)</v>
    <v>237653</v>
    <v>43844275</v>
  </rv>
  <rv s="2">
    <v>7</v>
  </rv>
  <rv s="0">
    <v>https://www.bing.com/financeapi/forcetrigger?t=a25moc&amp;q=ARCX%3aVUG&amp;form=skydnc</v>
    <v>Learn more on Bing</v>
  </rv>
  <rv s="1">
    <v>en-US</v>
    <v>a25moc</v>
    <v>268435456</v>
    <v>1</v>
    <v>Powered by Refinitiv</v>
    <v>0</v>
    <v>Vanguard Gro Idx;ETF (ARCX:VUG)</v>
    <v>2</v>
    <v>3</v>
    <v>Finance</v>
    <v>5</v>
    <v>465.62869999999998</v>
    <v>316.14420000000001</v>
    <v>1.0478000000000001</v>
    <v>-6.5</v>
    <v>-1.4065000000000001E-2</v>
    <v>USD</v>
    <v>NYSE Arca</v>
    <v>ARCX</v>
    <v>4.0000000000000002E-4</v>
    <v>461.90190000000001</v>
    <v>ETF</v>
    <v>45888.999341932809</v>
    <v>9</v>
    <v>454.78070000000002</v>
    <v>183178924043</v>
    <v>Vanguard Gro Idx;ETF</v>
    <v>461.6</v>
    <v>462.13</v>
    <v>455.63</v>
    <v>VUG</v>
    <v>Vanguard Gro Idx;ETF (ARCX:VUG)</v>
    <v>60</v>
    <v>899788</v>
  </rv>
  <rv s="2">
    <v>10</v>
  </rv>
  <rv s="0">
    <v>https://www.bing.com/financeapi/forcetrigger?t=a22m27&amp;q=ARCX%3aSCHD&amp;form=skydnc</v>
    <v>Learn more on Bing</v>
  </rv>
  <rv s="1">
    <v>en-US</v>
    <v>a22m27</v>
    <v>268435456</v>
    <v>1</v>
    <v>Powered by Refinitiv</v>
    <v>0</v>
    <v>Schwab Str:US Div Eq ETF (ARCX:SCHD)</v>
    <v>2</v>
    <v>3</v>
    <v>Finance</v>
    <v>4</v>
    <v>29.72</v>
    <v>23.87</v>
    <v>0.92069999999999996</v>
    <v>0.19</v>
    <v>6.9699999999999996E-3</v>
    <v>USD</v>
    <v>NYSE Arca</v>
    <v>ARCX</v>
    <v>5.9999999999999995E-4</v>
    <v>27.62</v>
    <v>ETF</v>
    <v>45888.999990265627</v>
    <v>12</v>
    <v>27.29</v>
    <v>69039853534.639999</v>
    <v>Schwab Str:US Div Eq ETF</v>
    <v>27.29</v>
    <v>27.26</v>
    <v>27.45</v>
    <v>SCHD</v>
    <v>Schwab Str:US Div Eq ETF (ARCX:SCHD)</v>
    <v>41221</v>
    <v>15705603</v>
  </rv>
  <rv s="2">
    <v>13</v>
  </rv>
  <rv s="0">
    <v>https://www.bing.com/financeapi/forcetrigger?t=a1r3h7&amp;q=ARCX%3aDIV&amp;form=skydnc</v>
    <v>Learn more on Bing</v>
  </rv>
  <rv s="1">
    <v>en-US</v>
    <v>a1r3h7</v>
    <v>268435456</v>
    <v>1</v>
    <v>Powered by Refinitiv</v>
    <v>0</v>
    <v>Glbl X SuperDiv US ETF (ARCX:DIV)</v>
    <v>2</v>
    <v>3</v>
    <v>Finance</v>
    <v>5</v>
    <v>19.38</v>
    <v>16.190000000000001</v>
    <v>0.88139999999999996</v>
    <v>0.05</v>
    <v>2.8510000000000002E-3</v>
    <v>USD</v>
    <v>NYSE Arca</v>
    <v>ARCX</v>
    <v>4.5000000000000005E-3</v>
    <v>17.669599999999999</v>
    <v>ETF</v>
    <v>45889.000000995315</v>
    <v>15</v>
    <v>17.53</v>
    <v>646721598.89999998</v>
    <v>Glbl X SuperDiv US ETF</v>
    <v>17.55</v>
    <v>17.54</v>
    <v>17.59</v>
    <v>DIV</v>
    <v>Glbl X SuperDiv US ETF (ARCX:DIV)</v>
    <v>134450</v>
    <v>182150</v>
  </rv>
  <rv s="2">
    <v>16</v>
  </rv>
  <rv s="0">
    <v>https://www.bing.com/financeapi/forcetrigger?t=a23dkr&amp;q=ARCX%3aSPHD&amp;form=skydnc</v>
    <v>Learn more on Bing</v>
  </rv>
  <rv s="1">
    <v>en-US</v>
    <v>a23dkr</v>
    <v>268435456</v>
    <v>1</v>
    <v>Powered by Refinitiv</v>
    <v>0</v>
    <v>Invesco S&amp;P500 HD LV (ARCX:SPHD)</v>
    <v>2</v>
    <v>3</v>
    <v>Finance</v>
    <v>5</v>
    <v>51.89</v>
    <v>43.39</v>
    <v>0.95740000000000003</v>
    <v>0.55000000000000004</v>
    <v>1.1390000000000001E-2</v>
    <v>USD</v>
    <v>NYSE Arca</v>
    <v>ARCX</v>
    <v>3.0000000000000001E-3</v>
    <v>48.93</v>
    <v>ETF</v>
    <v>45889.000000046093</v>
    <v>18</v>
    <v>48.37</v>
    <v>3075124225.6999998</v>
    <v>Invesco S&amp;P500 HD LV</v>
    <v>48.37</v>
    <v>48.29</v>
    <v>48.84</v>
    <v>SPHD</v>
    <v>Invesco S&amp;P500 HD LV (ARCX:SPHD)</v>
    <v>131</v>
    <v>555841</v>
  </rv>
  <rv s="2">
    <v>19</v>
  </rv>
  <rv s="0">
    <v>https://www.bing.com/financeapi/forcetrigger?t=a25o5r&amp;q=ARCX%3aVYM&amp;form=skydnc</v>
    <v>Learn more on Bing</v>
  </rv>
  <rv s="1">
    <v>en-US</v>
    <v>a25o5r</v>
    <v>268435456</v>
    <v>1</v>
    <v>Powered by Refinitiv</v>
    <v>0</v>
    <v>Vanguard Hi Dv Yld;ETF (ARCX:VYM)</v>
    <v>2</v>
    <v>6</v>
    <v>Finance</v>
    <v>5</v>
    <v>137.82</v>
    <v>112.05419999999999</v>
    <v>0.92230000000000001</v>
    <v>0</v>
    <v>0</v>
    <v>USD</v>
    <v>NYSE Arca</v>
    <v>ARCX</v>
    <v>5.9999999999999995E-4</v>
    <v>137.82</v>
    <v>ETF</v>
    <v>45889</v>
    <v>21</v>
    <v>136.87</v>
    <v>61686863803</v>
    <v>Vanguard Hi Dv Yld;ETF</v>
    <v>136.96</v>
    <v>137.24</v>
    <v>137.24</v>
    <v>VYM</v>
    <v>Vanguard Hi Dv Yld;ETF (ARCX:VYM)</v>
    <v>31</v>
    <v>954962</v>
  </rv>
  <rv s="2">
    <v>22</v>
  </rv>
  <rv s="0">
    <v>https://www.bing.com/financeapi/forcetrigger?t=a267ww&amp;q=ARCX%3aXLI&amp;form=skydnc</v>
    <v>Learn more on Bing</v>
  </rv>
  <rv s="1">
    <v>en-US</v>
    <v>a267ww</v>
    <v>268435456</v>
    <v>1</v>
    <v>Powered by Refinitiv</v>
    <v>0</v>
    <v>Sel Sector:Indust SPDR (ARCX:XLI)</v>
    <v>2</v>
    <v>3</v>
    <v>Finance</v>
    <v>5</v>
    <v>155.15</v>
    <v>112.75</v>
    <v>0.99980000000000002</v>
    <v>0.33</v>
    <v>2.1849999999999999E-3</v>
    <v>USD</v>
    <v>NYSE Arca</v>
    <v>ARCX</v>
    <v>8.0000000000000004E-4</v>
    <v>152.30000000000001</v>
    <v>ETF</v>
    <v>45889.000000046093</v>
    <v>24</v>
    <v>150.75</v>
    <v>23089620708.66</v>
    <v>Sel Sector:Indust SPDR</v>
    <v>151.19999999999999</v>
    <v>151.03</v>
    <v>151.36000000000001</v>
    <v>XLI</v>
    <v>Sel Sector:Indust SPDR (ARCX:XLI)</v>
    <v>9035363</v>
    <v>11589069</v>
  </rv>
  <rv s="2">
    <v>25</v>
  </rv>
  <rv s="0">
    <v>https://www.bing.com/financeapi/forcetrigger?t=a25lrw&amp;q=ARCX%3aVTI&amp;form=skydnc</v>
    <v>Learn more on Bing</v>
  </rv>
  <rv s="1">
    <v>en-US</v>
    <v>a25lrw</v>
    <v>268435456</v>
    <v>1</v>
    <v>Powered by Refinitiv</v>
    <v>0</v>
    <v>Vanguard TSM Idx;ETF (ARCX:VTI)</v>
    <v>2</v>
    <v>3</v>
    <v>Finance</v>
    <v>5</v>
    <v>317.94</v>
    <v>236.42</v>
    <v>1.0005999999999999</v>
    <v>-1.92</v>
    <v>-6.0650000000000001E-3</v>
    <v>USD</v>
    <v>NYSE Arca</v>
    <v>ARCX</v>
    <v>2.9999999999999997E-4</v>
    <v>316.98</v>
    <v>ETF</v>
    <v>45889.000000046093</v>
    <v>27</v>
    <v>314.10000000000002</v>
    <v>513969494067</v>
    <v>Vanguard TSM Idx;ETF</v>
    <v>316.58</v>
    <v>316.58999999999997</v>
    <v>314.67</v>
    <v>VTI</v>
    <v>Vanguard TSM Idx;ETF (ARCX:VTI)</v>
    <v>350</v>
    <v>3759379</v>
  </rv>
  <rv s="2">
    <v>28</v>
  </rv>
  <rv s="0">
    <v>https://www.bing.com/financeapi/forcetrigger?t=a1yv52&amp;q=XNAS%3aNVDA&amp;form=skydnc</v>
    <v>Learn more on Bing</v>
  </rv>
  <rv s="3">
    <v>en-US</v>
    <v>a1yv52</v>
    <v>268435456</v>
    <v>1</v>
    <v>Powered by Refinitiv</v>
    <v>7</v>
    <v>NVIDIA CORPORATION (XNAS:NVDA)</v>
    <v>8</v>
    <v>9</v>
    <v>Finance</v>
    <v>10</v>
    <v>184.48</v>
    <v>86.62</v>
    <v>2.1057000000000001</v>
    <v>-6.37</v>
    <v>-3.4998000000000001E-2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182.5</v>
    <v>Semiconductors &amp; Semiconductor Equipment</v>
    <v>Stock</v>
    <v>45888.999998853906</v>
    <v>30</v>
    <v>175.49</v>
    <v>4285615999999</v>
    <v>NVIDIA CORPORATION</v>
    <v>NVIDIA CORPORATION</v>
    <v>182.43</v>
    <v>56.576099999999997</v>
    <v>182.01</v>
    <v>175.64</v>
    <v>24400000000</v>
    <v>NVDA</v>
    <v>NVIDIA CORPORATION (XNAS:NVDA)</v>
    <v>983774</v>
    <v>156485835</v>
    <v>1998</v>
  </rv>
  <rv s="2">
    <v>31</v>
  </rv>
  <rv s="0">
    <v>https://www.bing.com/financeapi/forcetrigger?t=a1nz8m&amp;q=XNAS%3aAVGO&amp;form=skydnc</v>
    <v>Learn more on Bing</v>
  </rv>
  <rv s="3">
    <v>en-US</v>
    <v>a1nz8m</v>
    <v>268435456</v>
    <v>1</v>
    <v>Powered by Refinitiv</v>
    <v>7</v>
    <v>BROADCOM INC. (XNAS:AVGO)</v>
    <v>8</v>
    <v>9</v>
    <v>Finance</v>
    <v>10</v>
    <v>317.35000000000002</v>
    <v>134.9</v>
    <v>1.1741999999999999</v>
    <v>-10.85</v>
    <v>-3.5485000000000003E-2</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302.8999</v>
    <v>Semiconductors &amp; Semiconductor Equipment</v>
    <v>Stock</v>
    <v>45888.999946296091</v>
    <v>33</v>
    <v>292.39</v>
    <v>1387100632610</v>
    <v>BROADCOM INC.</v>
    <v>BROADCOM INC.</v>
    <v>302.41500000000002</v>
    <v>107.5513</v>
    <v>305.76</v>
    <v>294.91000000000003</v>
    <v>4703471000</v>
    <v>AVGO</v>
    <v>BROADCOM INC. (XNAS:AVGO)</v>
    <v>33496</v>
    <v>17117346</v>
    <v>2018</v>
  </rv>
  <rv s="2">
    <v>34</v>
  </rv>
  <rv s="0">
    <v>https://www.bing.com/financeapi/forcetrigger?t=a1ufm7&amp;q=XNYS%3aHAL&amp;form=skydnc</v>
    <v>Learn more on Bing</v>
  </rv>
  <rv s="3">
    <v>en-US</v>
    <v>a1ufm7</v>
    <v>268435456</v>
    <v>1</v>
    <v>Powered by Refinitiv</v>
    <v>7</v>
    <v>HALLIBURTON COMPANY (XNYS:HAL)</v>
    <v>8</v>
    <v>9</v>
    <v>Finance</v>
    <v>11</v>
    <v>32.57</v>
    <v>18.72</v>
    <v>1.1024</v>
    <v>-0.22</v>
    <v>-1.0314E-2</v>
    <v>USD</v>
    <v>Halliburton Company is a provider of products and services to the energy industry. The Company operates through two segments: Completion and Production and the Drilling and Evaluation. The Completion and Production delivers cementing, stimulation, specialty chemicals, intervention, pressure control, artificial lift, and completion products and services. The segment consists of Artificial Lift, Cementing, Completion Tools, Pipeline and Process Services, Production Enhancement, and Production Solutions. The Drilling and Evaluation segment provides field and reservoir modeling, drilling, fluids, evaluation and precise wellbore placement solutions that enable customers to model, measure, drill, and optimize their well construction activities. Its product service lines include Baroid, drill bits and services, Halliburton project management, landmark software and services, Sperry drilling, testing and subsea and wireline and perforating.</v>
    <v>48000</v>
    <v>New York Stock Exchange</v>
    <v>XNYS</v>
    <v>XNYS</v>
    <v>3000 North Sam Houston Parkway East, HOUSTON, TX, 77032 US</v>
    <v>21.58</v>
    <v>Oil &amp; Gas Related Equipment and Services</v>
    <v>Stock</v>
    <v>45888.999713390622</v>
    <v>36</v>
    <v>20.92</v>
    <v>17998430331</v>
    <v>HALLIBURTON COMPANY</v>
    <v>HALLIBURTON COMPANY</v>
    <v>21.315000000000001</v>
    <v>8.8415999999999997</v>
    <v>21.33</v>
    <v>21.11</v>
    <v>852602100</v>
    <v>HAL</v>
    <v>HALLIBURTON COMPANY (XNYS:HAL)</v>
    <v>61</v>
    <v>13850919</v>
    <v>1996</v>
  </rv>
  <rv s="2">
    <v>37</v>
  </rv>
  <rv s="0">
    <v>https://www.bing.com/financeapi/forcetrigger?t=bgr8c7&amp;q=XNAS%3aQUBT&amp;form=skydnc</v>
    <v>Learn more on Bing</v>
  </rv>
  <rv s="3">
    <v>en-US</v>
    <v>bgr8c7</v>
    <v>268435456</v>
    <v>1</v>
    <v>Powered by Refinitiv</v>
    <v>7</v>
    <v>QUANTUM COMPUTING INC. (XNAS:QUBT)</v>
    <v>8</v>
    <v>9</v>
    <v>Finance</v>
    <v>10</v>
    <v>27.15</v>
    <v>0.58140000000000003</v>
    <v>3.8852000000000002</v>
    <v>-1.0349999999999999</v>
    <v>-6.5114999999999992E-2</v>
    <v>USD</v>
    <v>Quantum Computing Inc. is an integrated quantum optics and nanophotonic technology company. The Company is utilizing integrated photonics and non-linear quantum optics to develop and deliver machines for quantum computing, reservoir computing, and remote sensing, imaging and cybersecurity applications. Its products are designed to operate at room temperature and low power. Its Entropy Quantum Computer is a full-stack system, incorporating the Company’s custom user interface software Qatalyst, which allows users to avoid the complexity of software development kits at the circuit level and has evolved from the Company’s primary Software as a Service offering to the software that powers its offerings. Its Reservoir Computer is a device that uses an integrated circuit that can be reprogrammed after manufacturing and optimized for recurrent neural network applications. Its Quantum Photonic Vibrometer is a proprietary, instrument for remote vibration detection, sensing, and inspection.</v>
    <v>41</v>
    <v>Nasdaq Stock Market</v>
    <v>XNAS</v>
    <v>XNAS</v>
    <v>5 MARINE VIEW PLZ, SUITE 214, HOBOKEN, NJ, 07030 US</v>
    <v>15.952500000000001</v>
    <v>Software &amp; IT Services</v>
    <v>Stock</v>
    <v>45888.999974085156</v>
    <v>39</v>
    <v>14.792</v>
    <v>2375864352</v>
    <v>QUANTUM COMPUTING INC.</v>
    <v>QUANTUM COMPUTING INC.</v>
    <v>15.82</v>
    <v>0</v>
    <v>15.895</v>
    <v>14.86</v>
    <v>159883200</v>
    <v>QUBT</v>
    <v>QUANTUM COMPUTING INC. (XNAS:QUBT)</v>
    <v>54847</v>
    <v>17549079</v>
    <v>2018</v>
  </rv>
  <rv s="2">
    <v>40</v>
  </rv>
  <rv s="0">
    <v>https://www.bing.com/financeapi/forcetrigger?t=a25552&amp;q=XNYS%3aRTX&amp;form=skydnc</v>
    <v>Learn more on Bing</v>
  </rv>
  <rv s="3">
    <v>en-US</v>
    <v>a25552</v>
    <v>268435456</v>
    <v>1</v>
    <v>Powered by Refinitiv</v>
    <v>7</v>
    <v>RTX CORPORATION (XNYS:RTX)</v>
    <v>8</v>
    <v>9</v>
    <v>Finance</v>
    <v>11</v>
    <v>158.79</v>
    <v>112.27</v>
    <v>0.66169999999999995</v>
    <v>-1.84</v>
    <v>-1.1833E-2</v>
    <v>USD</v>
    <v>RTX Corporation is an aerospace and defense company, which provides advanced systems and services for commercial, military, and government customers worldwide. The Company operates through three segments: Collins Aerospace, Pratt &amp; Whitney, and Raytheon. Collins Aerospace segment provides technologically advanced aerospace and defense products and aftermarket service solutions for civil and military aircraft manufacturers, commercial airlines, and regional, business and general aviation, as well as for defense and commercial space operations. The Pratt &amp; Whitney segment supplies aircraft engines for commercial, military, business jet, and general aviation customers. The Raytheon segment provides defensive and offensive threat detection, tracking and mitigation capabilities for the United States and foreign government and commercial customers. The Raytheon designs, develops, and provides advanced capabilities in integrated air and missile defense, smart weapons, missiles and others.</v>
    <v>185000</v>
    <v>New York Stock Exchange</v>
    <v>XNYS</v>
    <v>XNYS</v>
    <v>1000 Wilson Blvd, ARLINGTON, VA, 22209 US</v>
    <v>155.125</v>
    <v>Aerospace &amp; Defense</v>
    <v>Stock</v>
    <v>45888.99963371484</v>
    <v>42</v>
    <v>153.21</v>
    <v>205680363720</v>
    <v>RTX CORPORATION</v>
    <v>RTX CORPORATION</v>
    <v>154.57</v>
    <v>45.058</v>
    <v>155.5</v>
    <v>153.66</v>
    <v>1338542000</v>
    <v>RTX</v>
    <v>RTX CORPORATION (XNYS:RTX)</v>
    <v>94</v>
    <v>4810269</v>
    <v>1934</v>
  </rv>
  <rv s="2">
    <v>43</v>
  </rv>
  <rv s="0">
    <v>https://www.bing.com/financeapi/forcetrigger?t=a1waa2&amp;q=XNYS%3aJPM&amp;form=skydnc</v>
    <v>Learn more on Bing</v>
  </rv>
  <rv s="3">
    <v>en-US</v>
    <v>a1waa2</v>
    <v>268435456</v>
    <v>1</v>
    <v>Powered by Refinitiv</v>
    <v>7</v>
    <v>JPMORGAN CHASE &amp; CO. (XNYS:JPM)</v>
    <v>8</v>
    <v>9</v>
    <v>Finance</v>
    <v>10</v>
    <v>301.29309999999998</v>
    <v>200.61</v>
    <v>1.1278999999999999</v>
    <v>-0.87</v>
    <v>-2.9840000000000001E-3</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292.48</v>
    <v>Banking Services</v>
    <v>Stock</v>
    <v>45888.999265103907</v>
    <v>45</v>
    <v>289.52999999999997</v>
    <v>799243497640</v>
    <v>JPMORGAN CHASE &amp; CO.</v>
    <v>JPMORGAN CHASE &amp; CO.</v>
    <v>290.83</v>
    <v>14.9131</v>
    <v>291.52999999999997</v>
    <v>290.66000000000003</v>
    <v>2749754000</v>
    <v>JPM</v>
    <v>JPMORGAN CHASE &amp; CO. (XNYS:JPM)</v>
    <v>345</v>
    <v>8102089</v>
    <v>1968</v>
  </rv>
  <rv s="2">
    <v>46</v>
  </rv>
  <rv s="0">
    <v>https://www.bing.com/financeapi/forcetrigger?t=a24kjc&amp;q=XNYS%3aTSM&amp;form=skydnc</v>
    <v>Learn more on Bing</v>
  </rv>
  <rv s="3">
    <v>en-US</v>
    <v>a24kjc</v>
    <v>268435456</v>
    <v>1</v>
    <v>Powered by Refinitiv</v>
    <v>7</v>
    <v>Taiwan Semiconductor Manufacturing Co., Ltd. (XNYS:TSM)</v>
    <v>8</v>
    <v>9</v>
    <v>Finance</v>
    <v>10</v>
    <v>248.28</v>
    <v>134.25</v>
    <v>1.2379</v>
    <v>-8.7100000000000009</v>
    <v>-3.6080000000000001E-2</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240.16499999999999</v>
    <v>Semiconductors &amp; Semiconductor Equipment</v>
    <v>Stock</v>
    <v>45888.999974270315</v>
    <v>48</v>
    <v>232.58</v>
    <v>1019405000000</v>
    <v>Taiwan Semiconductor Manufacturing Co., Ltd.</v>
    <v>Taiwan Semiconductor Manufacturing Co., Ltd.</v>
    <v>240.02</v>
    <v>24.122599999999998</v>
    <v>241.41</v>
    <v>232.7</v>
    <v>5186523000</v>
    <v>TSM</v>
    <v>Taiwan Semiconductor Manufacturing Co., Ltd. (XNYS:TSM)</v>
    <v>83768</v>
    <v>11532539</v>
    <v>1987</v>
  </rv>
  <rv s="2">
    <v>49</v>
  </rv>
  <rv s="0">
    <v>https://www.bing.com/financeapi/forcetrigger?t=a2qfa2&amp;q=OTCM%3aNTDOY&amp;form=skydnc</v>
    <v>Learn more on Bing</v>
  </rv>
  <rv s="3">
    <v>en-US</v>
    <v>a2qfa2</v>
    <v>268435456</v>
    <v>1</v>
    <v>Powered by Refinitiv</v>
    <v>7</v>
    <v>Nintendo Co., Ltd. (OTCM:NTDOY)</v>
    <v>8</v>
    <v>12</v>
    <v>Finance</v>
    <v>13</v>
    <v>24.92</v>
    <v>12</v>
    <v>0.67330000000000001</v>
    <v>-0.75</v>
    <v>-3.0133E-2</v>
    <v>USD</v>
    <v>Nintendo Co Ltd is a Japan-based company mainly engaged in the development, manufacture and sale of entertainment products in the field of home entertainment. The Company develops, manufactures, and sells hardware and software for portable and home console games. Its main products are game consoles, which are computer-based entertainment devices, and character goods and playing cards. Game consoles are hardware and software for handheld and home console games, which are developed by the Company and its affiliates, manufactured by the Company, and sold mainly by its affiliates in Japan and overseas. The Company also develops businesses utilizing its intellectual property (IP), such as video content and mobile applications.</v>
    <v>8205</v>
    <v>OTC Markets</v>
    <v>OTCM</v>
    <v>OTCM</v>
    <v>11-1, Kamitoba Hokotate-cho, Minami-ku, KYOTO-SHI, KYOTO-FU, 601-8501 JP</v>
    <v>24.28</v>
    <v>Leisure Products</v>
    <v>Stock</v>
    <v>45889.006944444445</v>
    <v>51</v>
    <v>23.99</v>
    <v>19032300000000</v>
    <v>Nintendo Co., Ltd.</v>
    <v>Nintendo Co., Ltd.</v>
    <v>24.28</v>
    <v>0</v>
    <v>24.89</v>
    <v>24.14</v>
    <v>1298690000</v>
    <v>NTDOY</v>
    <v>Nintendo Co., Ltd. (OTCM:NTDOY)</v>
    <v>769228</v>
    <v>6142600</v>
    <v>1947</v>
  </rv>
  <rv s="2">
    <v>52</v>
  </rv>
  <rv s="0">
    <v>https://www.bing.com/financeapi/forcetrigger?t=a1q6k2&amp;q=XNAS%3aCOST&amp;form=skydnc</v>
    <v>Learn more on Bing</v>
  </rv>
  <rv s="3">
    <v>en-US</v>
    <v>a1q6k2</v>
    <v>268435456</v>
    <v>1</v>
    <v>Powered by Refinitiv</v>
    <v>7</v>
    <v>COSTCO WHOLESALE CORPORATION (XNAS:COST)</v>
    <v>8</v>
    <v>9</v>
    <v>Finance</v>
    <v>10</v>
    <v>1078.2349999999999</v>
    <v>867.16</v>
    <v>0.96799999999999997</v>
    <v>1.5</v>
    <v>1.5319999999999999E-3</v>
    <v>USD</v>
    <v>Costco Wholesale Corporation (Costco) operates membership warehouses and e-commerce sites that offer a selection of nationally branded and private-label products in a wide range of categories. The Company buys the majority of its merchandise directly from suppliers and route it to cross-docking consolidation points (depots) or directly to its warehouses. It operates 891 warehouses, including 614 in the United States and Puerto Rico, 108 in Canada, 40 in Mexico, 35 in Japan, 29 in the United Kingdom, 19 in Korea, 15 in Australia, 14 in Taiwan, seven in China, five in Spain, two in France, and one each in Iceland, New Zealand and Sweden. It also operates e-commerce sites in the United States, Canada, the United Kingdom, Mexico, Korea, Taiwan, Japan and Australia. The Company provides wide selection of merchandise, plus the convenience of specialty departments and exclusive member services.</v>
    <v>333000</v>
    <v>Nasdaq Stock Market</v>
    <v>XNAS</v>
    <v>XNAS</v>
    <v>999 Lake Dr, ISSAQUAH, WA, 98027- US</v>
    <v>988.5299</v>
    <v>Diversified Retail</v>
    <v>Stock</v>
    <v>45888.99995600625</v>
    <v>54</v>
    <v>976.79</v>
    <v>434984513535</v>
    <v>COSTCO WHOLESALE CORPORATION</v>
    <v>COSTCO WHOLESALE CORPORATION</v>
    <v>978.62</v>
    <v>57.259599999999999</v>
    <v>979.35</v>
    <v>980.85</v>
    <v>443477100</v>
    <v>COST</v>
    <v>COSTCO WHOLESALE CORPORATION (XNAS:COST)</v>
    <v>260</v>
    <v>2150782</v>
    <v>1987</v>
  </rv>
  <rv s="2">
    <v>55</v>
  </rv>
  <rv s="0">
    <v>https://www.bing.com/financeapi/forcetrigger?t=a1y4oc&amp;q=XNAS%3aMU&amp;form=skydnc</v>
    <v>Learn more on Bing</v>
  </rv>
  <rv s="3">
    <v>en-US</v>
    <v>a1y4oc</v>
    <v>268435456</v>
    <v>1</v>
    <v>Powered by Refinitiv</v>
    <v>7</v>
    <v>MICRON TECHNOLOGY, INC. (XNAS:MU)</v>
    <v>8</v>
    <v>9</v>
    <v>Finance</v>
    <v>10</v>
    <v>129.85</v>
    <v>61.54</v>
    <v>1.4688000000000001</v>
    <v>-1.5</v>
    <v>-1.2140999999999999E-2</v>
    <v>USD</v>
    <v>Micron Technology, Inc. provides memory and storage solutions. The Company delivers a portfolio of high-performance dynamic random-access memory (DRAM), NAND, and NOR memory and storage products through its Micron and Crucial brands. The Company's products enable advancing in artificial intelligence (AI) and compute-intensive applications. Its segments include Compute and Networking Business Unit (CNBU), Mobile Business Unit (MBU), Embedded Business Unit (EBU), and Storage Business Unit (SBU). CNBU segment includes memory products and solutions sold into the data center, PC, graphics, and networking markets. MBU segment includes memory and storage products sold into the smartphone and other mobile-device markets. EBU segment includes memory and storage products and solutions sold into the intelligent edge through the automotive, industrial, and consumer embedded markets. SBU segment includes SSDs and component-level storage solutions sold into the data center, PC, and consumer markets.</v>
    <v>48000</v>
    <v>Nasdaq Stock Market</v>
    <v>XNAS</v>
    <v>XNAS</v>
    <v>8000 S Federal Way, Po Box 6, BOISE, ID, 83716-9632 US</v>
    <v>124.24</v>
    <v>Semiconductors &amp; Semiconductor Equipment</v>
    <v>Stock</v>
    <v>45888.999946978904</v>
    <v>57</v>
    <v>121.31</v>
    <v>136589206250</v>
    <v>MICRON TECHNOLOGY, INC.</v>
    <v>MICRON TECHNOLOGY, INC.</v>
    <v>122.94</v>
    <v>22.124500000000001</v>
    <v>123.55</v>
    <v>122.05</v>
    <v>1119125000</v>
    <v>MU</v>
    <v>MICRON TECHNOLOGY, INC. (XNAS:MU)</v>
    <v>162619</v>
    <v>21196549</v>
    <v>1984</v>
  </rv>
  <rv s="2">
    <v>58</v>
  </rv>
  <rv s="0">
    <v>https://www.bing.com/financeapi/forcetrigger?t=a1u3p2&amp;q=XNAS%3aGOOG&amp;form=skydnc</v>
    <v>Learn more on Bing</v>
  </rv>
  <rv s="3">
    <v>en-US</v>
    <v>a1u3p2</v>
    <v>268435456</v>
    <v>1</v>
    <v>Powered by Refinitiv</v>
    <v>7</v>
    <v>ALPHABET INC. (XNAS:GOOG)</v>
    <v>8</v>
    <v>9</v>
    <v>Finance</v>
    <v>10</v>
    <v>208.7</v>
    <v>142.66</v>
    <v>1.0073000000000001</v>
    <v>-1.8</v>
    <v>-8.8109999999999994E-3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204.29</v>
    <v>Software &amp; IT Services</v>
    <v>Stock</v>
    <v>45888.999941793751</v>
    <v>60</v>
    <v>200.93</v>
    <v>2465419000000</v>
    <v>ALPHABET INC.</v>
    <v>ALPHABET INC.</v>
    <v>203.905</v>
    <v>21.5718</v>
    <v>204.29</v>
    <v>202.49</v>
    <v>12094000000</v>
    <v>GOOG</v>
    <v>ALPHABET INC. (XNAS:GOOG)</v>
    <v>23605</v>
    <v>23263217</v>
    <v>2015</v>
  </rv>
  <rv s="2">
    <v>61</v>
  </rv>
  <rv s="0">
    <v>http://en.wikipedia.org/wiki/Public_domain</v>
    <v>Public domain</v>
  </rv>
  <rv s="0">
    <v>http://en.wikipedia.org/wiki/Ford_Motor_Company</v>
    <v>Wikipedia</v>
  </rv>
  <rv s="4">
    <v>63</v>
    <v>64</v>
  </rv>
  <rv s="5">
    <v>18</v>
    <v>https://www.bing.com/th?id=AMMS_cf0311a5f2d2dcb3110aca1404330618&amp;qlt=95</v>
    <v>65</v>
    <v>0</v>
    <v>https://www.bing.com/images/search?form=xlimg&amp;q=ford+motor+company</v>
    <v>Image of FORD MOTOR COMPANY</v>
  </rv>
  <rv s="0">
    <v>https://www.bing.com/financeapi/forcetrigger?t=a1sjw7&amp;q=XNYS%3aF&amp;form=skydnc</v>
    <v>Learn more on Bing</v>
  </rv>
  <rv s="6">
    <v>en-US</v>
    <v>a1sjw7</v>
    <v>268435456</v>
    <v>1</v>
    <v>Powered by Refinitiv</v>
    <v>14</v>
    <v>FORD MOTOR COMPANY (XNYS:F)</v>
    <v>16</v>
    <v>17</v>
    <v>Finance</v>
    <v>10</v>
    <v>11.97</v>
    <v>8.4405999999999999</v>
    <v>1.5234000000000001</v>
    <v>0.12</v>
    <v>1.0470999999999999E-2</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11.73</v>
    <v>66</v>
    <v>Automobiles &amp; Auto Parts</v>
    <v>Stock</v>
    <v>45888.999953101564</v>
    <v>67</v>
    <v>11.49</v>
    <v>46086778800</v>
    <v>FORD MOTOR COMPANY</v>
    <v>FORD MOTOR COMPANY</v>
    <v>11.52</v>
    <v>14.807600000000001</v>
    <v>11.46</v>
    <v>11.58</v>
    <v>3979860000</v>
    <v>F</v>
    <v>FORD MOTOR COMPANY (XNYS:F)</v>
    <v>15207</v>
    <v>66378313</v>
    <v>1919</v>
  </rv>
  <rv s="2">
    <v>68</v>
  </rv>
  <rv s="0">
    <v>https://www.bing.com/financeapi/forcetrigger?t=a25ya2&amp;q=XNYS%3aWMT&amp;form=skydnc</v>
    <v>Learn more on Bing</v>
  </rv>
  <rv s="3">
    <v>en-US</v>
    <v>a25ya2</v>
    <v>268435456</v>
    <v>1</v>
    <v>Powered by Refinitiv</v>
    <v>7</v>
    <v>WALMART INC. (XNYS:WMT)</v>
    <v>8</v>
    <v>9</v>
    <v>Finance</v>
    <v>10</v>
    <v>105.3</v>
    <v>73.72</v>
    <v>0.65569999999999995</v>
    <v>0.59</v>
    <v>5.8589999999999996E-3</v>
    <v>USD</v>
    <v>Walmart Inc. is a technology-powered omnichannel retailer. The Company is engaged in the operation of retail and wholesale stores and clubs, as well as eCommerce Websites and mobile applications, located throughout the United States (U.S.), Africa, Canada, Central America, Chile, China, India and Mexico. It operates in three reportable segments: Walmart U.S., Walmart International and Sam's Club U.S. The Walmart U.S. segment includes the Company's mass merchandising concept in the U.S., as well as eCommerce, which includes omni-channel initiatives and certain other business offerings such as advertising services. The Walmart International segment consists of the Company's operations outside of the U.S. through its subsidiaries, as well as eCommerce and omni-channel initiatives. The Sam's Club U.S. segment includes the warehouse membership clubs in the U.S., as well as samsclub.com and omni-channel initiatives.</v>
    <v>2100000</v>
    <v>New York Stock Exchange</v>
    <v>XNYS</v>
    <v>XNYS</v>
    <v>1 Customer Drive, BENTONVILLE, AR, 72716 US</v>
    <v>102.43</v>
    <v>Food &amp; Drug Retailing</v>
    <v>Stock</v>
    <v>45888.99994775391</v>
    <v>70</v>
    <v>100.8</v>
    <v>808336539220</v>
    <v>WALMART INC.</v>
    <v>WALMART INC.</v>
    <v>100.96</v>
    <v>43.4527</v>
    <v>100.7</v>
    <v>101.29</v>
    <v>7980418000</v>
    <v>WMT</v>
    <v>WALMART INC. (XNYS:WMT)</v>
    <v>5477</v>
    <v>14083198</v>
    <v>1969</v>
  </rv>
  <rv s="2">
    <v>71</v>
  </rv>
  <rv s="0">
    <v>https://www.bing.com/financeapi/forcetrigger?t=a1otrw&amp;q=XNYS%3aBRK.B&amp;form=skydnc</v>
    <v>Learn more on Bing</v>
  </rv>
  <rv s="3">
    <v>en-US</v>
    <v>a1otrw</v>
    <v>268435456</v>
    <v>1</v>
    <v>Powered by Refinitiv</v>
    <v>7</v>
    <v>BERKSHIRE HATHAWAY INC. (XNYS:BRK.B)</v>
    <v>8</v>
    <v>9</v>
    <v>Finance</v>
    <v>10</v>
    <v>542.07000000000005</v>
    <v>437.9</v>
    <v>0.77400000000000002</v>
    <v>6.79</v>
    <v>1.4190000000000001E-2</v>
    <v>USD</v>
    <v>Berkshire Hathaway Inc. and its subsidiaries are engaged in diverse business activities, including insurance and reinsurance, utilities and energy, freight rail transportation, manufacturing, services and retailing. The Company’s segments include Insurance; Railroad (BNSF); Berkshire Hathaway Energy (BHE); Pilot Travel Centers (Pilot); Manufacturing; McLane Company (McLane), and Service and retailing. The Insurance segment includes GEICO, Berkshire Hathaway Primary Group and Berkshire Hathaway Reinsurance Group. The BNSF segment includes operation of railroad systems in North America through Burlington Northern Santa Fe, LLC. The BHE segment offers regulated electric and gas utilities. The Manufacturing segment manufacturers various products, including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485.8999</v>
    <v>Consumer Goods Conglomerates</v>
    <v>Stock</v>
    <v>45888.999912071093</v>
    <v>73</v>
    <v>479.77</v>
    <v>1032469000000</v>
    <v>BERKSHIRE HATHAWAY INC.</v>
    <v>BERKSHIRE HATHAWAY INC.</v>
    <v>479.77</v>
    <v>16.6373</v>
    <v>478.52</v>
    <v>485.31</v>
    <v>1438220</v>
    <v>BRK.B</v>
    <v>BERKSHIRE HATHAWAY INC. (XNYS:BRK.B)</v>
    <v>5763</v>
    <v>4730538</v>
    <v>1998</v>
  </rv>
  <rv s="2">
    <v>74</v>
  </rv>
  <rv s="0">
    <v>https://www.bing.com/financeapi/forcetrigger?t=a1ndww&amp;q=XNAS%3aAMD&amp;form=skydnc</v>
    <v>Learn more on Bing</v>
  </rv>
  <rv s="3">
    <v>en-US</v>
    <v>a1ndww</v>
    <v>268435456</v>
    <v>1</v>
    <v>Powered by Refinitiv</v>
    <v>7</v>
    <v>ADVANCED MICRO DEVICES, INC. (XNAS:AMD)</v>
    <v>8</v>
    <v>9</v>
    <v>Finance</v>
    <v>10</v>
    <v>186.65</v>
    <v>76.48</v>
    <v>1.9212</v>
    <v>-9.59</v>
    <v>-5.4444999999999993E-2</v>
    <v>USD</v>
    <v>Advanced Micro Devices, Inc. is a global semiconductor company. The Company is focused on high-performance computing, graphics and visualization technologies. Its segments include Data Center, Client and Gaming, and Embedded. Data Center segment includes artificial intelligence (AI) accelerators, microprocessors (CPUs) for servers, graphics processing units (GPUs), accelerated processing units (APUs), data processing units (DPUs), Field Programmable Gate Arrays (FPGAs), smart network interface Cards (SmartNICs) and Adaptive system-on-Chip (SoC) products for data centers. Client and Gaming segment includes CPUs, APUs, chipsets for desktops and notebooks, discrete GPUs, and semi-custom SoC products and development services. Embedded segment includes embedded CPUs, GPUs, APUs, FPGAs, system on modules (SOMs), and Adaptive SoC products. It markets and sells its products under the AMD trademark. Its products include AMD EPYC, AMD Ryzen, AMD Ryzen PRO, Virtex UltraScale+, and others.</v>
    <v>28000</v>
    <v>Nasdaq Stock Market</v>
    <v>XNAS</v>
    <v>XNAS</v>
    <v>2485 Augustine Drive, SANTA CLARA, CA, 95054 US</v>
    <v>173.17</v>
    <v>Semiconductors &amp; Semiconductor Equipment</v>
    <v>Stock</v>
    <v>45888.999999421096</v>
    <v>76</v>
    <v>166.1</v>
    <v>270284668200</v>
    <v>ADVANCED MICRO DEVICES, INC.</v>
    <v>ADVANCED MICRO DEVICES, INC.</v>
    <v>173.1</v>
    <v>99.524299999999997</v>
    <v>176.14</v>
    <v>166.55</v>
    <v>1622844000</v>
    <v>AMD</v>
    <v>ADVANCED MICRO DEVICES, INC. (XNAS:AMD)</v>
    <v>227365</v>
    <v>67878495</v>
    <v>1969</v>
  </rv>
  <rv s="2">
    <v>77</v>
  </rv>
  <rv s="0">
    <v>https://www.bing.com/financeapi/forcetrigger?t=a1o4ec&amp;q=XNYS%3aBA&amp;form=skydnc</v>
    <v>Learn more on Bing</v>
  </rv>
  <rv s="3">
    <v>en-US</v>
    <v>a1o4ec</v>
    <v>268435456</v>
    <v>1</v>
    <v>Powered by Refinitiv</v>
    <v>7</v>
    <v>THE BOEING COMPANY (XNYS:BA)</v>
    <v>8</v>
    <v>9</v>
    <v>Finance</v>
    <v>10</v>
    <v>242.68989999999999</v>
    <v>128.8801</v>
    <v>1.4819</v>
    <v>-7.41</v>
    <v>-3.1883000000000002E-2</v>
    <v>USD</v>
    <v>The Boeing Company is an aerospace company. Its segments include Commercial Airplanes (BCA), Defense, Space &amp; Security (BDS), and Global Services (BGS). Its BCA segment develops, produces and markets commercial jet aircraft principally for the commercial airline industry worldwide. Its family of commercial jet aircraft in production includes the 737 narrow-body model and the 767, 777 and 787 wide-body models. Its BDS segment is engaged in the research, development, production and modification of manned and unmanned military aircraft and weapons systems for strike, surveillance and mobility. Its BGS segment provides services to its commercial and defense customers worldwide. It sustains aerospace platforms and systems with a range of products and services, including supply chain and logistics management, engineering, maintenance and modifications, upgrades and conversions, spare parts, pilot and maintenance training systems and services, technical and maintenance documents, and others.</v>
    <v>172000</v>
    <v>New York Stock Exchange</v>
    <v>XNYS</v>
    <v>XNYS</v>
    <v>929 Long Bridge Drive, ARLINGTON, VA, 22202 US</v>
    <v>232.4316</v>
    <v>Aerospace &amp; Defense</v>
    <v>Stock</v>
    <v>45888.999659154688</v>
    <v>79</v>
    <v>223.75</v>
    <v>170135482500</v>
    <v>THE BOEING COMPANY</v>
    <v>THE BOEING COMPANY</v>
    <v>232</v>
    <v>0</v>
    <v>232.41</v>
    <v>225</v>
    <v>756157700</v>
    <v>BA</v>
    <v>THE BOEING COMPANY (XNYS:BA)</v>
    <v>963</v>
    <v>7009370</v>
    <v>1934</v>
  </rv>
  <rv s="2">
    <v>80</v>
  </rv>
  <rv s="0">
    <v>https://www.bing.com/financeapi/forcetrigger?t=a1u3rw&amp;q=XNAS%3aGOOGL&amp;form=skydnc</v>
    <v>Learn more on Bing</v>
  </rv>
  <rv s="3">
    <v>en-US</v>
    <v>a1u3rw</v>
    <v>268435456</v>
    <v>1</v>
    <v>Powered by Refinitiv</v>
    <v>7</v>
    <v>ALPHABET INC. (XNAS:GOOGL)</v>
    <v>8</v>
    <v>9</v>
    <v>Finance</v>
    <v>10</v>
    <v>207.05</v>
    <v>140.53</v>
    <v>1.0073000000000001</v>
    <v>-1.93</v>
    <v>-9.4839999999999994E-3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203.44</v>
    <v>Software &amp; IT Services</v>
    <v>Stock</v>
    <v>45888.999957661719</v>
    <v>82</v>
    <v>199.96</v>
    <v>2465419000000</v>
    <v>ALPHABET INC.</v>
    <v>ALPHABET INC.</v>
    <v>203.03</v>
    <v>21.464400000000001</v>
    <v>203.5</v>
    <v>201.57</v>
    <v>12094000000</v>
    <v>GOOGL</v>
    <v>ALPHABET INC. (XNAS:GOOGL)</v>
    <v>49918</v>
    <v>36319690</v>
    <v>2015</v>
  </rv>
  <rv s="2">
    <v>83</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3">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9">
    <spb s="0">
      <v>0</v>
      <v>Name</v>
      <v>LearnMoreOnLink</v>
    </spb>
    <spb s="1">
      <v>0</v>
      <v>0</v>
      <v>0</v>
    </spb>
    <spb s="2">
      <v>1</v>
      <v>1</v>
      <v>1</v>
    </spb>
    <spb s="3">
      <v>1</v>
      <v>2</v>
      <v>1</v>
      <v>3</v>
      <v>1</v>
      <v>1</v>
      <v>1</v>
      <v>4</v>
      <v>5</v>
      <v>6</v>
      <v>1</v>
      <v>1</v>
      <v>5</v>
      <v>1</v>
      <v>4</v>
      <v>7</v>
      <v>8</v>
    </spb>
    <spb s="4">
      <v>Real-Time Nasdaq Last Sale</v>
      <v>from previous close</v>
      <v>Source: Nasdaq Last Sale</v>
      <v>from previous close</v>
      <v>GMT</v>
    </spb>
    <spb s="4">
      <v>Delayed 15 minutes</v>
      <v>from previous close</v>
      <v>Source: Nasdaq</v>
      <v>from previous close</v>
      <v>GMT</v>
    </spb>
    <spb s="3">
      <v>1</v>
      <v>2</v>
      <v>1</v>
      <v>3</v>
      <v>1</v>
      <v>1</v>
      <v>1</v>
      <v>4</v>
      <v>5</v>
      <v>6</v>
      <v>1</v>
      <v>1</v>
      <v>5</v>
      <v>1</v>
      <v>4</v>
      <v>9</v>
      <v>8</v>
    </spb>
    <spb s="0">
      <v>1</v>
      <v>Name</v>
      <v>LearnMoreOnLink</v>
    </spb>
    <spb s="5">
      <v>1</v>
      <v>1</v>
      <v>1</v>
      <v>1</v>
    </spb>
    <spb s="6">
      <v>1</v>
      <v>2</v>
      <v>2</v>
      <v>1</v>
      <v>3</v>
      <v>1</v>
      <v>1</v>
      <v>1</v>
      <v>4</v>
      <v>4</v>
      <v>5</v>
      <v>6</v>
      <v>1</v>
      <v>1</v>
      <v>1</v>
      <v>4</v>
      <v>7</v>
      <v>10</v>
      <v>8</v>
      <v>4</v>
    </spb>
    <spb s="7">
      <v>Real-Time Nasdaq Last Sale</v>
      <v>from previous close</v>
      <v>from previous close</v>
      <v>Source: Nasdaq Last Sale</v>
      <v>GMT</v>
    </spb>
    <spb s="7">
      <v>Delayed 15 minutes</v>
      <v>from previous close</v>
      <v>from previous close</v>
      <v>Source: Nasdaq</v>
      <v>GMT</v>
    </spb>
    <spb s="6">
      <v>1</v>
      <v>2</v>
      <v>2</v>
      <v>1</v>
      <v>3</v>
      <v>1</v>
      <v>1</v>
      <v>1</v>
      <v>4</v>
      <v>4</v>
      <v>5</v>
      <v>11</v>
      <v>1</v>
      <v>1</v>
      <v>1</v>
      <v>4</v>
      <v>7</v>
      <v>10</v>
      <v>8</v>
      <v>4</v>
    </spb>
    <spb s="8">
      <v>Delayed 15 minutes</v>
      <v>from previous close</v>
      <v>from previous close</v>
      <v>GMT</v>
    </spb>
    <spb s="0">
      <v>2</v>
      <v>Name</v>
      <v>LearnMoreOnLink</v>
    </spb>
    <spb s="9">
      <v>0</v>
      <v>0</v>
    </spb>
    <spb s="10">
      <v>15</v>
      <v>1</v>
      <v>1</v>
      <v>1</v>
      <v>1</v>
    </spb>
    <spb s="11">
      <v>1</v>
      <v>2</v>
      <v>2</v>
      <v>1</v>
      <v>3</v>
      <v>1</v>
      <v>12</v>
      <v>1</v>
      <v>1</v>
      <v>4</v>
      <v>4</v>
      <v>5</v>
      <v>6</v>
      <v>1</v>
      <v>1</v>
      <v>1</v>
      <v>4</v>
      <v>7</v>
      <v>10</v>
      <v>8</v>
      <v>4</v>
    </spb>
    <spb s="12">
      <v>Powered by Refinitiv</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s>
  <s>
    <k n="Price" t="s"/>
    <k n="Change" t="s"/>
    <k n="Exchange" t="s"/>
    <k n="Change (%)" t="s"/>
    <k n="Last trade ti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9" formatCode="m/d/yyyy"/>
    </x:dxf>
    <x:dxf>
      <x:numFmt numFmtId="1" formatCode="0"/>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0">
      <rpv i="0">0.00</rpv>
    </rSty>
    <rSty dxfid="6"/>
    <rSty dxfid="7">
      <rpv i="0">0</rpv>
    </rSty>
    <rSty dxfid="1">
      <rpv i="0">_-[$¥-ja-JP]* #,##0_-;-[$¥-ja-JP]* #,##0_-;_-[$¥-ja-JP]* "-"_-;_-@_-</rpv>
    </rSty>
    <rSty>
      <rpv i="2">1</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C088A-24E0-4643-A068-BDBFFE2AA4EA}">
  <sheetPr codeName="Sheet1"/>
  <dimension ref="A1:L30"/>
  <sheetViews>
    <sheetView workbookViewId="0">
      <selection activeCell="J21" sqref="J21"/>
    </sheetView>
  </sheetViews>
  <sheetFormatPr defaultColWidth="15.7109375" defaultRowHeight="15" x14ac:dyDescent="0.25"/>
  <cols>
    <col min="2" max="2" width="56.5703125" customWidth="1"/>
    <col min="3" max="3" width="42.7109375" customWidth="1"/>
  </cols>
  <sheetData>
    <row r="1" spans="1:12" ht="16.5" thickTop="1" thickBot="1" x14ac:dyDescent="0.3">
      <c r="A1" s="1" t="s">
        <v>0</v>
      </c>
      <c r="B1" s="1" t="s">
        <v>1</v>
      </c>
      <c r="C1" s="1" t="s">
        <v>2</v>
      </c>
      <c r="D1" s="1" t="s">
        <v>3</v>
      </c>
      <c r="E1" s="1" t="s">
        <v>4</v>
      </c>
      <c r="F1" s="1" t="s">
        <v>5</v>
      </c>
      <c r="G1" s="1" t="s">
        <v>6</v>
      </c>
      <c r="H1" s="1" t="s">
        <v>7</v>
      </c>
      <c r="I1" s="1" t="s">
        <v>8</v>
      </c>
    </row>
    <row r="2" spans="1:12" ht="15.75" thickTop="1" x14ac:dyDescent="0.25">
      <c r="A2" t="s">
        <v>9</v>
      </c>
      <c r="B2" t="e" vm="1">
        <v>#VALUE!</v>
      </c>
      <c r="C2" t="str" cm="1">
        <f t="array" aca="1" ref="C2" ca="1">_FV(B2,"Name")</f>
        <v>SPDR S&amp;P 500</v>
      </c>
      <c r="D2">
        <v>5</v>
      </c>
      <c r="E2" s="3">
        <v>530</v>
      </c>
      <c r="F2" s="2" cm="1">
        <f t="array" aca="1" ref="F2" ca="1">_FV(B2,"Price")</f>
        <v>639.80999999999995</v>
      </c>
      <c r="G2" s="2">
        <f ca="1">D2*F2</f>
        <v>3199.0499999999997</v>
      </c>
      <c r="H2" s="2">
        <f ca="1">G2-(D2*E2)</f>
        <v>549.04999999999973</v>
      </c>
      <c r="I2" s="4">
        <f ca="1">(G2-(D2*E2))/(D2*E2)</f>
        <v>0.20718867924528292</v>
      </c>
    </row>
    <row r="3" spans="1:12" x14ac:dyDescent="0.25">
      <c r="A3" t="s">
        <v>10</v>
      </c>
      <c r="B3" t="e" vm="2">
        <v>#VALUE!</v>
      </c>
      <c r="C3" t="str" cm="1">
        <f t="array" aca="1" ref="C3" ca="1">_FV(B3,"Name")</f>
        <v>Vanguard 500 Idx;ETF</v>
      </c>
      <c r="D3">
        <v>4</v>
      </c>
      <c r="E3" s="3">
        <v>495</v>
      </c>
      <c r="F3" s="2" cm="1">
        <f t="array" aca="1" ref="F3" ca="1">_FV(B3,"Price")</f>
        <v>588.13</v>
      </c>
      <c r="G3" s="2">
        <f t="shared" ref="G3:G11" ca="1" si="0">D3*F3</f>
        <v>2352.52</v>
      </c>
      <c r="H3" s="2">
        <f t="shared" ref="H3:H11" ca="1" si="1">G3-(D3*E3)</f>
        <v>372.52</v>
      </c>
      <c r="I3" s="4">
        <f t="shared" ref="I3:I11" ca="1" si="2">(G3-(D3*E3))/(D3*E3)</f>
        <v>0.18814141414141414</v>
      </c>
    </row>
    <row r="4" spans="1:12" x14ac:dyDescent="0.25">
      <c r="A4" t="s">
        <v>12</v>
      </c>
      <c r="B4" t="e" vm="3">
        <v>#VALUE!</v>
      </c>
      <c r="C4" t="str" cm="1">
        <f t="array" aca="1" ref="C4" ca="1">_FV(B4,"Name")</f>
        <v>Invesco QQQ Trust 1</v>
      </c>
      <c r="D4">
        <v>1</v>
      </c>
      <c r="E4" s="3">
        <v>415</v>
      </c>
      <c r="F4" s="2" cm="1">
        <f t="array" aca="1" ref="F4" ca="1">_FV(B4,"Price")</f>
        <v>569.28</v>
      </c>
      <c r="G4" s="2">
        <f t="shared" ca="1" si="0"/>
        <v>569.28</v>
      </c>
      <c r="H4" s="2">
        <f t="shared" ca="1" si="1"/>
        <v>154.27999999999997</v>
      </c>
      <c r="I4" s="4">
        <f t="shared" ca="1" si="2"/>
        <v>0.37175903614457823</v>
      </c>
    </row>
    <row r="5" spans="1:12" x14ac:dyDescent="0.25">
      <c r="A5" t="s">
        <v>13</v>
      </c>
      <c r="B5" t="e" vm="4">
        <v>#VALUE!</v>
      </c>
      <c r="C5" t="str" cm="1">
        <f t="array" aca="1" ref="C5" ca="1">_FV(B5,"Name")</f>
        <v>Vanguard Gro Idx;ETF</v>
      </c>
      <c r="D5">
        <v>1</v>
      </c>
      <c r="E5" s="3">
        <v>385</v>
      </c>
      <c r="F5" s="2" cm="1">
        <f t="array" aca="1" ref="F5" ca="1">_FV(B5,"Price")</f>
        <v>455.63</v>
      </c>
      <c r="G5" s="2">
        <f t="shared" ca="1" si="0"/>
        <v>455.63</v>
      </c>
      <c r="H5" s="2">
        <f t="shared" ca="1" si="1"/>
        <v>70.63</v>
      </c>
      <c r="I5" s="4">
        <f t="shared" ca="1" si="2"/>
        <v>0.18345454545454545</v>
      </c>
      <c r="K5" t="s">
        <v>36</v>
      </c>
      <c r="L5" s="5">
        <f>SUMPRODUCT(D2:D30,E2:E30)</f>
        <v>22808</v>
      </c>
    </row>
    <row r="6" spans="1:12" x14ac:dyDescent="0.25">
      <c r="A6" t="s">
        <v>14</v>
      </c>
      <c r="B6" t="e" vm="5">
        <v>#VALUE!</v>
      </c>
      <c r="C6" t="str" cm="1">
        <f t="array" aca="1" ref="C6" ca="1">_FV(B6,"Name")</f>
        <v>Schwab Str:US Div Eq ETF</v>
      </c>
      <c r="D6">
        <v>3</v>
      </c>
      <c r="E6" s="3">
        <v>26</v>
      </c>
      <c r="F6" s="2" cm="1">
        <f t="array" aca="1" ref="F6" ca="1">_FV(B6,"Price")</f>
        <v>27.45</v>
      </c>
      <c r="G6" s="2">
        <f t="shared" ca="1" si="0"/>
        <v>82.35</v>
      </c>
      <c r="H6" s="2">
        <f t="shared" ca="1" si="1"/>
        <v>4.3499999999999943</v>
      </c>
      <c r="I6" s="4">
        <f t="shared" ca="1" si="2"/>
        <v>5.5769230769230696E-2</v>
      </c>
      <c r="K6" t="s">
        <v>37</v>
      </c>
      <c r="L6" s="3">
        <f ca="1">SUMPRODUCT(D2:D30,F2:F30)</f>
        <v>26738.380000000005</v>
      </c>
    </row>
    <row r="7" spans="1:12" x14ac:dyDescent="0.25">
      <c r="A7" t="s">
        <v>15</v>
      </c>
      <c r="B7" t="e" vm="6">
        <v>#VALUE!</v>
      </c>
      <c r="C7" t="str" cm="1">
        <f t="array" aca="1" ref="C7" ca="1">_FV(B7,"Name")</f>
        <v>Glbl X SuperDiv US ETF</v>
      </c>
      <c r="D7">
        <v>5</v>
      </c>
      <c r="E7" s="3">
        <v>18</v>
      </c>
      <c r="F7" s="2" cm="1">
        <f t="array" aca="1" ref="F7" ca="1">_FV(B7,"Price")</f>
        <v>17.59</v>
      </c>
      <c r="G7" s="2">
        <f t="shared" ca="1" si="0"/>
        <v>87.95</v>
      </c>
      <c r="H7" s="2">
        <f t="shared" ca="1" si="1"/>
        <v>-2.0499999999999972</v>
      </c>
      <c r="I7" s="4">
        <f t="shared" ca="1" si="2"/>
        <v>-2.2777777777777748E-2</v>
      </c>
      <c r="K7" t="s">
        <v>38</v>
      </c>
      <c r="L7" s="5">
        <f ca="1">L6-L5</f>
        <v>3930.3800000000047</v>
      </c>
    </row>
    <row r="8" spans="1:12" x14ac:dyDescent="0.25">
      <c r="A8" t="s">
        <v>25</v>
      </c>
      <c r="B8" t="e" vm="7">
        <v>#VALUE!</v>
      </c>
      <c r="C8" t="str" cm="1">
        <f t="array" aca="1" ref="C8" ca="1">_FV(B8,"Name")</f>
        <v>Invesco S&amp;P500 HD LV</v>
      </c>
      <c r="D8">
        <v>12</v>
      </c>
      <c r="E8" s="3">
        <v>45</v>
      </c>
      <c r="F8" s="2" cm="1">
        <f t="array" aca="1" ref="F8" ca="1">_FV(B8,"Price")</f>
        <v>48.84</v>
      </c>
      <c r="G8" s="2">
        <f t="shared" ca="1" si="0"/>
        <v>586.08000000000004</v>
      </c>
      <c r="H8" s="2">
        <f t="shared" ca="1" si="1"/>
        <v>46.080000000000041</v>
      </c>
      <c r="I8" s="4">
        <f t="shared" ca="1" si="2"/>
        <v>8.5333333333333414E-2</v>
      </c>
      <c r="K8" t="s">
        <v>39</v>
      </c>
      <c r="L8" s="4">
        <f ca="1">L7/L5</f>
        <v>0.17232462293931974</v>
      </c>
    </row>
    <row r="9" spans="1:12" x14ac:dyDescent="0.25">
      <c r="A9" t="s">
        <v>29</v>
      </c>
      <c r="B9" t="e" vm="8">
        <v>#VALUE!</v>
      </c>
      <c r="C9" t="str" cm="1">
        <f t="array" aca="1" ref="C9" ca="1">_FV(B9,"Name")</f>
        <v>Vanguard Hi Dv Yld;ETF</v>
      </c>
      <c r="D9">
        <v>2</v>
      </c>
      <c r="E9" s="3">
        <v>134</v>
      </c>
      <c r="F9" s="2" cm="1">
        <f t="array" aca="1" ref="F9" ca="1">_FV(B9,"Price")</f>
        <v>137.24</v>
      </c>
      <c r="G9" s="2">
        <f t="shared" ca="1" si="0"/>
        <v>274.48</v>
      </c>
      <c r="H9" s="2">
        <f t="shared" ca="1" si="1"/>
        <v>6.4800000000000182</v>
      </c>
      <c r="I9" s="4">
        <f t="shared" ca="1" si="2"/>
        <v>2.4179104477612009E-2</v>
      </c>
    </row>
    <row r="10" spans="1:12" x14ac:dyDescent="0.25">
      <c r="A10" t="s">
        <v>33</v>
      </c>
      <c r="B10" t="e" vm="9">
        <v>#VALUE!</v>
      </c>
      <c r="C10" t="str" cm="1">
        <f t="array" aca="1" ref="C10" ca="1">_FV(B10,"Name")</f>
        <v>Sel Sector:Indust SPDR</v>
      </c>
      <c r="D10">
        <v>1</v>
      </c>
      <c r="E10" s="3">
        <v>131</v>
      </c>
      <c r="F10" s="2" cm="1">
        <f t="array" aca="1" ref="F10" ca="1">_FV(B10,"Price")</f>
        <v>151.36000000000001</v>
      </c>
      <c r="G10" s="2">
        <f t="shared" ca="1" si="0"/>
        <v>151.36000000000001</v>
      </c>
      <c r="H10" s="2">
        <f t="shared" ca="1" si="1"/>
        <v>20.360000000000014</v>
      </c>
      <c r="I10" s="4">
        <f t="shared" ca="1" si="2"/>
        <v>0.15541984732824438</v>
      </c>
    </row>
    <row r="11" spans="1:12" x14ac:dyDescent="0.25">
      <c r="A11" t="s">
        <v>34</v>
      </c>
      <c r="B11" t="e" vm="10">
        <v>#VALUE!</v>
      </c>
      <c r="C11" t="str" cm="1">
        <f t="array" aca="1" ref="C11" ca="1">_FV(B11,"Name")</f>
        <v>Vanguard TSM Idx;ETF</v>
      </c>
      <c r="D11">
        <v>5</v>
      </c>
      <c r="E11" s="3">
        <v>290</v>
      </c>
      <c r="F11" s="2" cm="1">
        <f t="array" aca="1" ref="F11" ca="1">_FV(B11,"Price")</f>
        <v>314.67</v>
      </c>
      <c r="G11" s="2">
        <f t="shared" ca="1" si="0"/>
        <v>1573.3500000000001</v>
      </c>
      <c r="H11" s="2">
        <f t="shared" ca="1" si="1"/>
        <v>123.35000000000014</v>
      </c>
      <c r="I11" s="4">
        <f t="shared" ca="1" si="2"/>
        <v>8.5068965517241468E-2</v>
      </c>
    </row>
    <row r="14" spans="1:12" x14ac:dyDescent="0.25">
      <c r="A14" t="s">
        <v>11</v>
      </c>
      <c r="B14" t="e" vm="11">
        <v>#VALUE!</v>
      </c>
      <c r="C14" t="str" cm="1">
        <f t="array" aca="1" ref="C14" ca="1">_FV(B14,"Name")</f>
        <v>NVIDIA CORPORATION</v>
      </c>
      <c r="D14">
        <v>10</v>
      </c>
      <c r="E14" s="3">
        <v>110</v>
      </c>
      <c r="F14" s="2" cm="1">
        <f t="array" aca="1" ref="F14" ca="1">_FV(B14,"Price")</f>
        <v>175.64</v>
      </c>
      <c r="G14" s="2">
        <f ca="1">D14*F14</f>
        <v>1756.3999999999999</v>
      </c>
      <c r="H14" s="2">
        <f ca="1">G14-(D14*E14)</f>
        <v>656.39999999999986</v>
      </c>
      <c r="I14" s="4">
        <f ca="1">(G14-(D14*E14))/(D14*E14)</f>
        <v>0.59672727272727255</v>
      </c>
    </row>
    <row r="15" spans="1:12" x14ac:dyDescent="0.25">
      <c r="A15" t="s">
        <v>16</v>
      </c>
      <c r="B15" t="e" vm="12">
        <v>#VALUE!</v>
      </c>
      <c r="C15" t="str" cm="1">
        <f t="array" aca="1" ref="C15" ca="1">_FV(B15,"Name")</f>
        <v>BROADCOM INC.</v>
      </c>
      <c r="D15">
        <v>2</v>
      </c>
      <c r="E15" s="3">
        <v>207</v>
      </c>
      <c r="F15" s="2" cm="1">
        <f t="array" aca="1" ref="F15" ca="1">_FV(B15,"Price")</f>
        <v>294.91000000000003</v>
      </c>
      <c r="G15" s="2">
        <f ca="1">D15*F15</f>
        <v>589.82000000000005</v>
      </c>
      <c r="H15" s="2">
        <f ca="1">G15-(D15*E15)</f>
        <v>175.82000000000005</v>
      </c>
      <c r="I15" s="4">
        <f ca="1">(G15-(D15*E15))/(D15*E15)</f>
        <v>0.4246859903381644</v>
      </c>
    </row>
    <row r="16" spans="1:12" x14ac:dyDescent="0.25">
      <c r="A16" t="s">
        <v>17</v>
      </c>
      <c r="B16" t="e" vm="13">
        <v>#VALUE!</v>
      </c>
      <c r="C16" t="str" cm="1">
        <f t="array" aca="1" ref="C16" ca="1">_FV(B16,"Name")</f>
        <v>HALLIBURTON COMPANY</v>
      </c>
      <c r="D16">
        <v>10</v>
      </c>
      <c r="E16" s="3">
        <v>21</v>
      </c>
      <c r="F16" s="2" cm="1">
        <f t="array" aca="1" ref="F16" ca="1">_FV(B16,"Price")</f>
        <v>21.11</v>
      </c>
      <c r="G16" s="2">
        <f ca="1">D16*F16</f>
        <v>211.1</v>
      </c>
      <c r="H16" s="2">
        <f ca="1">G16-(D16*E16)</f>
        <v>1.0999999999999943</v>
      </c>
      <c r="I16" s="4">
        <f ca="1">(G16-(D16*E16))/(D16*E16)</f>
        <v>5.238095238095211E-3</v>
      </c>
    </row>
    <row r="17" spans="1:9" x14ac:dyDescent="0.25">
      <c r="A17" t="s">
        <v>18</v>
      </c>
      <c r="B17" t="e" vm="14">
        <v>#VALUE!</v>
      </c>
      <c r="C17" t="str" cm="1">
        <f t="array" aca="1" ref="C17" ca="1">_FV(B17,"Name")</f>
        <v>QUANTUM COMPUTING INC.</v>
      </c>
      <c r="D17">
        <v>12</v>
      </c>
      <c r="E17" s="3">
        <v>18</v>
      </c>
      <c r="F17" s="2" cm="1">
        <f t="array" aca="1" ref="F17" ca="1">_FV(B17,"Price")</f>
        <v>14.86</v>
      </c>
      <c r="G17" s="2">
        <f ca="1">D17*F17</f>
        <v>178.32</v>
      </c>
      <c r="H17" s="2">
        <f ca="1">G17-(D17*E17)</f>
        <v>-37.680000000000007</v>
      </c>
      <c r="I17" s="4">
        <f ca="1">(G17-(D17*E17))/(D17*E17)</f>
        <v>-0.17444444444444449</v>
      </c>
    </row>
    <row r="18" spans="1:9" x14ac:dyDescent="0.25">
      <c r="A18" t="s">
        <v>19</v>
      </c>
      <c r="B18" t="e" vm="15">
        <v>#VALUE!</v>
      </c>
      <c r="C18" t="str" cm="1">
        <f t="array" aca="1" ref="C18" ca="1">_FV(B18,"Name")</f>
        <v>RTX CORPORATION</v>
      </c>
      <c r="D18">
        <v>2</v>
      </c>
      <c r="E18" s="3">
        <v>155</v>
      </c>
      <c r="F18" s="2" cm="1">
        <f t="array" aca="1" ref="F18" ca="1">_FV(B18,"Price")</f>
        <v>153.66</v>
      </c>
      <c r="G18" s="2">
        <f ca="1">D18*F18</f>
        <v>307.32</v>
      </c>
      <c r="H18" s="2">
        <f ca="1">G18-(D18*E18)</f>
        <v>-2.6800000000000068</v>
      </c>
      <c r="I18" s="4">
        <f ca="1">(G18-(D18*E18))/(D18*E18)</f>
        <v>-8.6451612903226029E-3</v>
      </c>
    </row>
    <row r="19" spans="1:9" x14ac:dyDescent="0.25">
      <c r="A19" t="s">
        <v>20</v>
      </c>
      <c r="B19" t="e" vm="16">
        <v>#VALUE!</v>
      </c>
      <c r="C19" t="str" cm="1">
        <f t="array" aca="1" ref="C19" ca="1">_FV(B19,"Name")</f>
        <v>JPMORGAN CHASE &amp; CO.</v>
      </c>
      <c r="D19">
        <v>3</v>
      </c>
      <c r="E19" s="3">
        <v>221</v>
      </c>
      <c r="F19" s="2" cm="1">
        <f t="array" aca="1" ref="F19" ca="1">_FV(B19,"Price")</f>
        <v>290.66000000000003</v>
      </c>
      <c r="G19" s="2">
        <f ca="1">D19*F19</f>
        <v>871.98</v>
      </c>
      <c r="H19" s="2">
        <f ca="1">G19-(D19*E19)</f>
        <v>208.98000000000002</v>
      </c>
      <c r="I19" s="4">
        <f ca="1">(G19-(D19*E19))/(D19*E19)</f>
        <v>0.3152036199095023</v>
      </c>
    </row>
    <row r="20" spans="1:9" x14ac:dyDescent="0.25">
      <c r="A20" t="s">
        <v>21</v>
      </c>
      <c r="B20" t="e" vm="17">
        <v>#VALUE!</v>
      </c>
      <c r="C20" t="str" cm="1">
        <f t="array" aca="1" ref="C20" ca="1">_FV(B20,"Name")</f>
        <v>Taiwan Semiconductor Manufacturing Co., Ltd.</v>
      </c>
      <c r="D20">
        <v>5</v>
      </c>
      <c r="E20" s="3">
        <v>228</v>
      </c>
      <c r="F20" s="2" cm="1">
        <f t="array" aca="1" ref="F20" ca="1">_FV(B20,"Price")</f>
        <v>232.7</v>
      </c>
      <c r="G20" s="2">
        <f ca="1">D20*F20</f>
        <v>1163.5</v>
      </c>
      <c r="H20" s="2">
        <f ca="1">G20-(D20*E20)</f>
        <v>23.5</v>
      </c>
      <c r="I20" s="4">
        <f ca="1">(G20-(D20*E20))/(D20*E20)</f>
        <v>2.06140350877193E-2</v>
      </c>
    </row>
    <row r="21" spans="1:9" x14ac:dyDescent="0.25">
      <c r="A21" t="s">
        <v>22</v>
      </c>
      <c r="B21" t="e" vm="18">
        <v>#VALUE!</v>
      </c>
      <c r="C21" t="str" cm="1">
        <f t="array" aca="1" ref="C21" ca="1">_FV(B21,"Name")</f>
        <v>Nintendo Co., Ltd.</v>
      </c>
      <c r="D21">
        <v>7</v>
      </c>
      <c r="E21" s="3">
        <v>20</v>
      </c>
      <c r="F21" s="2" cm="1">
        <f t="array" aca="1" ref="F21" ca="1">_FV(B21,"Price")</f>
        <v>24.14</v>
      </c>
      <c r="G21" s="2">
        <f ca="1">D21*F21</f>
        <v>168.98000000000002</v>
      </c>
      <c r="H21" s="2">
        <f ca="1">G21-(D21*E21)</f>
        <v>28.980000000000018</v>
      </c>
      <c r="I21" s="4">
        <f ca="1">(G21-(D21*E21))/(D21*E21)</f>
        <v>0.20700000000000013</v>
      </c>
    </row>
    <row r="22" spans="1:9" x14ac:dyDescent="0.25">
      <c r="A22" t="s">
        <v>23</v>
      </c>
      <c r="B22" t="e" vm="19">
        <v>#VALUE!</v>
      </c>
      <c r="C22" t="str" cm="1">
        <f t="array" aca="1" ref="C22" ca="1">_FV(B22,"Name")</f>
        <v>COSTCO WHOLESALE CORPORATION</v>
      </c>
      <c r="D22">
        <v>5</v>
      </c>
      <c r="E22" s="3">
        <v>885</v>
      </c>
      <c r="F22" s="2" cm="1">
        <f t="array" aca="1" ref="F22" ca="1">_FV(B22,"Price")</f>
        <v>980.85</v>
      </c>
      <c r="G22" s="2">
        <f ca="1">D22*F22</f>
        <v>4904.25</v>
      </c>
      <c r="H22" s="2">
        <f ca="1">G22-(D22*E22)</f>
        <v>479.25</v>
      </c>
      <c r="I22" s="4">
        <f ca="1">(G22-(D22*E22))/(D22*E22)</f>
        <v>0.10830508474576271</v>
      </c>
    </row>
    <row r="23" spans="1:9" x14ac:dyDescent="0.25">
      <c r="A23" t="s">
        <v>24</v>
      </c>
      <c r="B23" t="e" vm="20">
        <v>#VALUE!</v>
      </c>
      <c r="C23" t="str" cm="1">
        <f t="array" aca="1" ref="C23" ca="1">_FV(B23,"Name")</f>
        <v>MICRON TECHNOLOGY, INC.</v>
      </c>
      <c r="D23">
        <v>3</v>
      </c>
      <c r="E23" s="3">
        <v>78</v>
      </c>
      <c r="F23" s="2" cm="1">
        <f t="array" aca="1" ref="F23" ca="1">_FV(B23,"Price")</f>
        <v>122.05</v>
      </c>
      <c r="G23" s="2">
        <f ca="1">D23*F23</f>
        <v>366.15</v>
      </c>
      <c r="H23" s="2">
        <f ca="1">G23-(D23*E23)</f>
        <v>132.14999999999998</v>
      </c>
      <c r="I23" s="4">
        <f ca="1">(G23-(D23*E23))/(D23*E23)</f>
        <v>0.56474358974358962</v>
      </c>
    </row>
    <row r="24" spans="1:9" x14ac:dyDescent="0.25">
      <c r="A24" t="s">
        <v>26</v>
      </c>
      <c r="B24" t="e" vm="21">
        <v>#VALUE!</v>
      </c>
      <c r="C24" t="str" cm="1">
        <f t="array" aca="1" ref="C24" ca="1">_FV(B24,"Name")</f>
        <v>ALPHABET INC.</v>
      </c>
      <c r="D24">
        <v>3</v>
      </c>
      <c r="E24" s="3">
        <v>153</v>
      </c>
      <c r="F24" s="2" cm="1">
        <f t="array" aca="1" ref="F24" ca="1">_FV(B24,"Price")</f>
        <v>202.49</v>
      </c>
      <c r="G24" s="2">
        <f ca="1">D24*F24</f>
        <v>607.47</v>
      </c>
      <c r="H24" s="2">
        <f ca="1">G24-(D24*E24)</f>
        <v>148.47000000000003</v>
      </c>
      <c r="I24" s="4">
        <f ca="1">(G24-(D24*E24))/(D24*E24)</f>
        <v>0.32346405228758174</v>
      </c>
    </row>
    <row r="25" spans="1:9" x14ac:dyDescent="0.25">
      <c r="A25" t="s">
        <v>27</v>
      </c>
      <c r="B25" t="e" vm="22">
        <v>#VALUE!</v>
      </c>
      <c r="C25" t="str" cm="1">
        <f t="array" aca="1" ref="C25" ca="1">_FV(B25,"Name")</f>
        <v>FORD MOTOR COMPANY</v>
      </c>
      <c r="D25">
        <v>3</v>
      </c>
      <c r="E25" s="3">
        <v>10</v>
      </c>
      <c r="F25" s="2" cm="1">
        <f t="array" aca="1" ref="F25" ca="1">_FV(B25,"Price")</f>
        <v>11.58</v>
      </c>
      <c r="G25" s="2">
        <f ca="1">D25*F25</f>
        <v>34.74</v>
      </c>
      <c r="H25" s="2">
        <f ca="1">G25-(D25*E25)</f>
        <v>4.740000000000002</v>
      </c>
      <c r="I25" s="4">
        <f ca="1">(G25-(D25*E25))/(D25*E25)</f>
        <v>0.15800000000000006</v>
      </c>
    </row>
    <row r="26" spans="1:9" x14ac:dyDescent="0.25">
      <c r="A26" t="s">
        <v>28</v>
      </c>
      <c r="B26" t="e" vm="23">
        <v>#VALUE!</v>
      </c>
      <c r="C26" t="str" cm="1">
        <f t="array" aca="1" ref="C26" ca="1">_FV(B26,"Name")</f>
        <v>WALMART INC.</v>
      </c>
      <c r="D26">
        <v>2</v>
      </c>
      <c r="E26" s="3">
        <v>86</v>
      </c>
      <c r="F26" s="2" cm="1">
        <f t="array" aca="1" ref="F26" ca="1">_FV(B26,"Price")</f>
        <v>101.29</v>
      </c>
      <c r="G26" s="2">
        <f ca="1">D26*F26</f>
        <v>202.58</v>
      </c>
      <c r="H26" s="2">
        <f ca="1">G26-(D26*E26)</f>
        <v>30.580000000000013</v>
      </c>
      <c r="I26" s="4">
        <f ca="1">(G26-(D26*E26))/(D26*E26)</f>
        <v>0.17779069767441869</v>
      </c>
    </row>
    <row r="27" spans="1:9" x14ac:dyDescent="0.25">
      <c r="A27" t="s">
        <v>30</v>
      </c>
      <c r="B27" t="e" vm="24">
        <v>#VALUE!</v>
      </c>
      <c r="C27" t="str" cm="1">
        <f t="array" aca="1" ref="C27" ca="1">_FV(B27,"Name")</f>
        <v>BERKSHIRE HATHAWAY INC.</v>
      </c>
      <c r="D27">
        <v>5</v>
      </c>
      <c r="E27" s="3">
        <v>453</v>
      </c>
      <c r="F27" s="2" cm="1">
        <f t="array" aca="1" ref="F27" ca="1">_FV(B27,"Price")</f>
        <v>485.31</v>
      </c>
      <c r="G27" s="2">
        <f ca="1">D27*F27</f>
        <v>2426.5500000000002</v>
      </c>
      <c r="H27" s="2">
        <f ca="1">G27-(D27*E27)</f>
        <v>161.55000000000018</v>
      </c>
      <c r="I27" s="4">
        <f ca="1">(G27-(D27*E27))/(D27*E27)</f>
        <v>7.1324503311258364E-2</v>
      </c>
    </row>
    <row r="28" spans="1:9" x14ac:dyDescent="0.25">
      <c r="A28" t="s">
        <v>31</v>
      </c>
      <c r="B28" t="e" vm="25">
        <v>#VALUE!</v>
      </c>
      <c r="C28" t="str" cm="1">
        <f t="array" aca="1" ref="C28" ca="1">_FV(B28,"Name")</f>
        <v>ADVANCED MICRO DEVICES, INC.</v>
      </c>
      <c r="D28">
        <v>5</v>
      </c>
      <c r="E28" s="3">
        <v>124</v>
      </c>
      <c r="F28" s="2" cm="1">
        <f t="array" aca="1" ref="F28" ca="1">_FV(B28,"Price")</f>
        <v>166.55</v>
      </c>
      <c r="G28" s="2">
        <f ca="1">D28*F28</f>
        <v>832.75</v>
      </c>
      <c r="H28" s="2">
        <f ca="1">G28-(D28*E28)</f>
        <v>212.75</v>
      </c>
      <c r="I28" s="4">
        <f ca="1">(G28-(D28*E28))/(D28*E28)</f>
        <v>0.34314516129032258</v>
      </c>
    </row>
    <row r="29" spans="1:9" x14ac:dyDescent="0.25">
      <c r="A29" t="s">
        <v>32</v>
      </c>
      <c r="B29" t="e" vm="26">
        <v>#VALUE!</v>
      </c>
      <c r="C29" t="str" cm="1">
        <f t="array" aca="1" ref="C29" ca="1">_FV(B29,"Name")</f>
        <v>THE BOEING COMPANY</v>
      </c>
      <c r="D29">
        <v>7</v>
      </c>
      <c r="E29" s="3">
        <v>179</v>
      </c>
      <c r="F29" s="2" cm="1">
        <f t="array" aca="1" ref="F29" ca="1">_FV(B29,"Price")</f>
        <v>225</v>
      </c>
      <c r="G29" s="2">
        <f ca="1">D29*F29</f>
        <v>1575</v>
      </c>
      <c r="H29" s="2">
        <f ca="1">G29-(D29*E29)</f>
        <v>322</v>
      </c>
      <c r="I29" s="4">
        <f ca="1">(G29-(D29*E29))/(D29*E29)</f>
        <v>0.25698324022346369</v>
      </c>
    </row>
    <row r="30" spans="1:9" x14ac:dyDescent="0.25">
      <c r="A30" t="s">
        <v>35</v>
      </c>
      <c r="B30" t="e" vm="27">
        <v>#VALUE!</v>
      </c>
      <c r="C30" t="str" cm="1">
        <f t="array" aca="1" ref="C30" ca="1">_FV(B30,"Name")</f>
        <v>ALPHABET INC.</v>
      </c>
      <c r="D30">
        <v>6</v>
      </c>
      <c r="E30" s="3">
        <v>195</v>
      </c>
      <c r="F30" s="2" cm="1">
        <f t="array" aca="1" ref="F30" ca="1">_FV(B30,"Price")</f>
        <v>201.57</v>
      </c>
      <c r="G30" s="2">
        <f ca="1">D30*F30</f>
        <v>1209.42</v>
      </c>
      <c r="H30" s="2">
        <f ca="1">G30-(D30*E30)</f>
        <v>39.420000000000073</v>
      </c>
      <c r="I30" s="4">
        <f ca="1">(G30-(D30*E30))/(D30*E30)</f>
        <v>3.3692307692307757E-2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8BC8B-70CC-411F-B2BC-BA719B5F5EC5}">
  <sheetPr codeName="Sheet2"/>
  <dimension ref="A14:J70"/>
  <sheetViews>
    <sheetView tabSelected="1" workbookViewId="0">
      <selection activeCell="A28" sqref="A28:D28"/>
    </sheetView>
  </sheetViews>
  <sheetFormatPr defaultColWidth="15.7109375" defaultRowHeight="15" x14ac:dyDescent="0.25"/>
  <sheetData>
    <row r="14" spans="8:8" x14ac:dyDescent="0.25">
      <c r="H14" s="6"/>
    </row>
    <row r="21" spans="1:10" x14ac:dyDescent="0.25">
      <c r="A21" s="9"/>
      <c r="B21" s="9"/>
      <c r="C21" s="9"/>
      <c r="D21" s="9"/>
      <c r="E21" s="9"/>
      <c r="F21" s="9"/>
      <c r="G21" s="9"/>
      <c r="H21" s="9"/>
      <c r="I21" s="9"/>
      <c r="J21" s="9"/>
    </row>
    <row r="22" spans="1:10" x14ac:dyDescent="0.25">
      <c r="A22" s="10" t="s">
        <v>2</v>
      </c>
      <c r="B22" s="10"/>
      <c r="C22" s="10"/>
      <c r="D22" s="10"/>
      <c r="E22" s="10" t="s">
        <v>40</v>
      </c>
      <c r="F22" s="10" t="s">
        <v>5</v>
      </c>
      <c r="G22" s="10" t="s">
        <v>6</v>
      </c>
      <c r="H22" s="15" t="s">
        <v>44</v>
      </c>
      <c r="I22" s="10" t="s">
        <v>41</v>
      </c>
      <c r="J22" s="10" t="s">
        <v>42</v>
      </c>
    </row>
    <row r="23" spans="1:10" x14ac:dyDescent="0.25">
      <c r="A23" s="10"/>
      <c r="B23" s="10"/>
      <c r="C23" s="10"/>
      <c r="D23" s="10"/>
      <c r="E23" s="10"/>
      <c r="F23" s="10"/>
      <c r="G23" s="10"/>
      <c r="H23" s="15"/>
      <c r="I23" s="10"/>
      <c r="J23" s="10"/>
    </row>
    <row r="24" spans="1:10" x14ac:dyDescent="0.25">
      <c r="A24" s="8" t="str">
        <f ca="1">PORTFOLIO!C2</f>
        <v>SPDR S&amp;P 500</v>
      </c>
      <c r="B24" s="8"/>
      <c r="C24" s="8"/>
      <c r="D24" s="8"/>
      <c r="E24" s="9">
        <f>PORTFOLIO!D2</f>
        <v>5</v>
      </c>
      <c r="F24" s="14">
        <f ca="1">PORTFOLIO!F2</f>
        <v>639.80999999999995</v>
      </c>
      <c r="G24" s="14" cm="1">
        <f t="array" aca="1" ref="G24:G33" ca="1">PORTFOLIO!G2:G11</f>
        <v>3199.0499999999997</v>
      </c>
      <c r="H24" s="12">
        <f ca="1">G24/SUM(G$24:G$33)</f>
        <v>0.34280249248557393</v>
      </c>
      <c r="I24" s="14" cm="1">
        <f t="array" aca="1" ref="I24:I33" ca="1">PORTFOLIO!H2:H11</f>
        <v>549.04999999999973</v>
      </c>
      <c r="J24" s="13" cm="1">
        <f t="array" aca="1" ref="J24:J33" ca="1">PORTFOLIO!I2:I11</f>
        <v>0.20718867924528292</v>
      </c>
    </row>
    <row r="25" spans="1:10" x14ac:dyDescent="0.25">
      <c r="A25" s="8" t="str">
        <f ca="1">PORTFOLIO!C3</f>
        <v>Vanguard 500 Idx;ETF</v>
      </c>
      <c r="B25" s="8"/>
      <c r="C25" s="8"/>
      <c r="D25" s="8"/>
      <c r="E25" s="9">
        <f>PORTFOLIO!D3</f>
        <v>4</v>
      </c>
      <c r="F25" s="14">
        <f ca="1">PORTFOLIO!F3</f>
        <v>588.13</v>
      </c>
      <c r="G25" s="14">
        <f ca="1"/>
        <v>2352.52</v>
      </c>
      <c r="H25" s="12">
        <f t="shared" ref="H25:H33" ca="1" si="0">G25/SUM(G$24:G$33)</f>
        <v>0.25209037671251228</v>
      </c>
      <c r="I25" s="14">
        <f ca="1"/>
        <v>372.52</v>
      </c>
      <c r="J25" s="12">
        <f ca="1"/>
        <v>0.18814141414141414</v>
      </c>
    </row>
    <row r="26" spans="1:10" x14ac:dyDescent="0.25">
      <c r="A26" s="8" t="str">
        <f ca="1">PORTFOLIO!C4</f>
        <v>Invesco QQQ Trust 1</v>
      </c>
      <c r="B26" s="8"/>
      <c r="C26" s="8"/>
      <c r="D26" s="8"/>
      <c r="E26" s="9">
        <f>PORTFOLIO!D4</f>
        <v>1</v>
      </c>
      <c r="F26" s="14">
        <f ca="1">PORTFOLIO!F4</f>
        <v>569.28</v>
      </c>
      <c r="G26" s="14">
        <f ca="1"/>
        <v>569.28</v>
      </c>
      <c r="H26" s="12">
        <f t="shared" ca="1" si="0"/>
        <v>6.1002673581903227E-2</v>
      </c>
      <c r="I26" s="14">
        <f ca="1"/>
        <v>154.27999999999997</v>
      </c>
      <c r="J26" s="12">
        <f ca="1"/>
        <v>0.37175903614457823</v>
      </c>
    </row>
    <row r="27" spans="1:10" x14ac:dyDescent="0.25">
      <c r="A27" s="8" t="str">
        <f ca="1">PORTFOLIO!C5</f>
        <v>Vanguard Gro Idx;ETF</v>
      </c>
      <c r="B27" s="8"/>
      <c r="C27" s="8"/>
      <c r="D27" s="8"/>
      <c r="E27" s="9">
        <f>PORTFOLIO!D5</f>
        <v>1</v>
      </c>
      <c r="F27" s="14">
        <f ca="1">PORTFOLIO!F5</f>
        <v>455.63</v>
      </c>
      <c r="G27" s="14">
        <f ca="1"/>
        <v>455.63</v>
      </c>
      <c r="H27" s="12">
        <f t="shared" ca="1" si="0"/>
        <v>4.8824213329332788E-2</v>
      </c>
      <c r="I27" s="14">
        <f ca="1"/>
        <v>70.63</v>
      </c>
      <c r="J27" s="12">
        <f ca="1"/>
        <v>0.18345454545454545</v>
      </c>
    </row>
    <row r="28" spans="1:10" x14ac:dyDescent="0.25">
      <c r="A28" s="8" t="str">
        <f ca="1">PORTFOLIO!C6</f>
        <v>Schwab Str:US Div Eq ETF</v>
      </c>
      <c r="B28" s="8"/>
      <c r="C28" s="8"/>
      <c r="D28" s="8"/>
      <c r="E28" s="9">
        <f>PORTFOLIO!D6</f>
        <v>3</v>
      </c>
      <c r="F28" s="14">
        <f ca="1">PORTFOLIO!F6</f>
        <v>27.45</v>
      </c>
      <c r="G28" s="14">
        <f ca="1"/>
        <v>82.35</v>
      </c>
      <c r="H28" s="12">
        <f t="shared" ca="1" si="0"/>
        <v>8.8244276445154073E-3</v>
      </c>
      <c r="I28" s="14">
        <f ca="1"/>
        <v>4.3499999999999943</v>
      </c>
      <c r="J28" s="12">
        <f ca="1"/>
        <v>5.5769230769230696E-2</v>
      </c>
    </row>
    <row r="29" spans="1:10" x14ac:dyDescent="0.25">
      <c r="A29" s="8" t="str">
        <f ca="1">PORTFOLIO!C7</f>
        <v>Glbl X SuperDiv US ETF</v>
      </c>
      <c r="B29" s="8"/>
      <c r="C29" s="8"/>
      <c r="D29" s="8"/>
      <c r="E29" s="9">
        <f>PORTFOLIO!D7</f>
        <v>5</v>
      </c>
      <c r="F29" s="14">
        <f ca="1">PORTFOLIO!F7</f>
        <v>17.59</v>
      </c>
      <c r="G29" s="14">
        <f ca="1"/>
        <v>87.95</v>
      </c>
      <c r="H29" s="12">
        <f t="shared" ca="1" si="0"/>
        <v>9.4245101558607172E-3</v>
      </c>
      <c r="I29" s="14">
        <f ca="1"/>
        <v>-2.0499999999999972</v>
      </c>
      <c r="J29" s="12">
        <f ca="1"/>
        <v>-2.2777777777777748E-2</v>
      </c>
    </row>
    <row r="30" spans="1:10" x14ac:dyDescent="0.25">
      <c r="A30" s="8" t="str">
        <f ca="1">PORTFOLIO!C8</f>
        <v>Invesco S&amp;P500 HD LV</v>
      </c>
      <c r="B30" s="8"/>
      <c r="C30" s="8"/>
      <c r="D30" s="8"/>
      <c r="E30" s="9">
        <f>PORTFOLIO!D8</f>
        <v>12</v>
      </c>
      <c r="F30" s="14">
        <f ca="1">PORTFOLIO!F8</f>
        <v>48.84</v>
      </c>
      <c r="G30" s="14">
        <f ca="1"/>
        <v>586.08000000000004</v>
      </c>
      <c r="H30" s="12">
        <f t="shared" ca="1" si="0"/>
        <v>6.2802921115939159E-2</v>
      </c>
      <c r="I30" s="14">
        <f ca="1"/>
        <v>46.080000000000041</v>
      </c>
      <c r="J30" s="12">
        <f ca="1"/>
        <v>8.5333333333333414E-2</v>
      </c>
    </row>
    <row r="31" spans="1:10" x14ac:dyDescent="0.25">
      <c r="A31" s="8" t="str">
        <f ca="1">PORTFOLIO!C9</f>
        <v>Vanguard Hi Dv Yld;ETF</v>
      </c>
      <c r="B31" s="8"/>
      <c r="C31" s="8"/>
      <c r="D31" s="8"/>
      <c r="E31" s="9">
        <f>PORTFOLIO!D9</f>
        <v>2</v>
      </c>
      <c r="F31" s="14">
        <f ca="1">PORTFOLIO!F9</f>
        <v>137.24</v>
      </c>
      <c r="G31" s="14">
        <f ca="1"/>
        <v>274.48</v>
      </c>
      <c r="H31" s="12">
        <f t="shared" ca="1" si="0"/>
        <v>2.9412615663225127E-2</v>
      </c>
      <c r="I31" s="14">
        <f ca="1"/>
        <v>6.4800000000000182</v>
      </c>
      <c r="J31" s="12">
        <f ca="1"/>
        <v>2.4179104477612009E-2</v>
      </c>
    </row>
    <row r="32" spans="1:10" x14ac:dyDescent="0.25">
      <c r="A32" s="8" t="str">
        <f ca="1">PORTFOLIO!C10</f>
        <v>Sel Sector:Indust SPDR</v>
      </c>
      <c r="B32" s="8"/>
      <c r="C32" s="8"/>
      <c r="D32" s="8"/>
      <c r="E32" s="9">
        <f>PORTFOLIO!D10</f>
        <v>1</v>
      </c>
      <c r="F32" s="14">
        <f ca="1">PORTFOLIO!F10</f>
        <v>151.36000000000001</v>
      </c>
      <c r="G32" s="14">
        <f ca="1"/>
        <v>151.36000000000001</v>
      </c>
      <c r="H32" s="12">
        <f t="shared" ca="1" si="0"/>
        <v>1.6219373020933237E-2</v>
      </c>
      <c r="I32" s="14">
        <f ca="1"/>
        <v>20.360000000000014</v>
      </c>
      <c r="J32" s="12">
        <f ca="1"/>
        <v>0.15541984732824438</v>
      </c>
    </row>
    <row r="33" spans="1:10" x14ac:dyDescent="0.25">
      <c r="A33" s="8" t="str">
        <f ca="1">PORTFOLIO!C11</f>
        <v>Vanguard TSM Idx;ETF</v>
      </c>
      <c r="B33" s="8"/>
      <c r="C33" s="8"/>
      <c r="D33" s="8"/>
      <c r="E33" s="9">
        <f>PORTFOLIO!D11</f>
        <v>5</v>
      </c>
      <c r="F33" s="14">
        <f ca="1">PORTFOLIO!F11</f>
        <v>314.67</v>
      </c>
      <c r="G33" s="14">
        <f ca="1"/>
        <v>1573.3500000000001</v>
      </c>
      <c r="H33" s="12">
        <f t="shared" ca="1" si="0"/>
        <v>0.1685963962902042</v>
      </c>
      <c r="I33" s="14">
        <f ca="1"/>
        <v>123.35000000000014</v>
      </c>
      <c r="J33" s="12">
        <f ca="1"/>
        <v>8.5068965517241468E-2</v>
      </c>
    </row>
    <row r="34" spans="1:10" x14ac:dyDescent="0.25">
      <c r="A34" s="10" t="s">
        <v>43</v>
      </c>
      <c r="B34" s="11"/>
      <c r="C34" s="11"/>
      <c r="D34" s="11"/>
      <c r="E34" s="10" t="s">
        <v>40</v>
      </c>
      <c r="F34" s="10" t="s">
        <v>5</v>
      </c>
      <c r="G34" s="10" t="s">
        <v>6</v>
      </c>
      <c r="H34" s="15" t="s">
        <v>45</v>
      </c>
      <c r="I34" s="10" t="s">
        <v>41</v>
      </c>
      <c r="J34" s="10" t="s">
        <v>42</v>
      </c>
    </row>
    <row r="35" spans="1:10" x14ac:dyDescent="0.25">
      <c r="A35" s="11"/>
      <c r="B35" s="11"/>
      <c r="C35" s="11"/>
      <c r="D35" s="11"/>
      <c r="E35" s="10"/>
      <c r="F35" s="10"/>
      <c r="G35" s="10"/>
      <c r="H35" s="15"/>
      <c r="I35" s="10"/>
      <c r="J35" s="10"/>
    </row>
    <row r="36" spans="1:10" x14ac:dyDescent="0.25">
      <c r="A36" s="8" t="str">
        <f ca="1">PORTFOLIO!C14</f>
        <v>NVIDIA CORPORATION</v>
      </c>
      <c r="B36" s="8"/>
      <c r="C36" s="8"/>
      <c r="D36" s="8"/>
      <c r="E36" s="9">
        <f>PORTFOLIO!D14</f>
        <v>10</v>
      </c>
      <c r="F36" s="14">
        <f ca="1">PORTFOLIO!F14</f>
        <v>175.64</v>
      </c>
      <c r="G36" s="14" cm="1">
        <f t="array" aca="1" ref="G36:G52" ca="1">PORTFOLIO!G14:G30</f>
        <v>1756.3999999999999</v>
      </c>
      <c r="H36" s="12">
        <f ca="1">G36/SUM(G$36:G$52)</f>
        <v>0.10090581989425684</v>
      </c>
      <c r="I36" s="14">
        <f ca="1">PORTFOLIO!H14</f>
        <v>656.39999999999986</v>
      </c>
      <c r="J36" s="13">
        <f ca="1">PORTFOLIO!I14</f>
        <v>0.59672727272727255</v>
      </c>
    </row>
    <row r="37" spans="1:10" x14ac:dyDescent="0.25">
      <c r="A37" s="8" t="str">
        <f ca="1">PORTFOLIO!C15</f>
        <v>BROADCOM INC.</v>
      </c>
      <c r="B37" s="8"/>
      <c r="C37" s="8"/>
      <c r="D37" s="8"/>
      <c r="E37" s="9">
        <f>PORTFOLIO!D15</f>
        <v>2</v>
      </c>
      <c r="F37" s="14">
        <f ca="1">PORTFOLIO!F15</f>
        <v>294.91000000000003</v>
      </c>
      <c r="G37" s="14">
        <f ca="1"/>
        <v>589.82000000000005</v>
      </c>
      <c r="H37" s="12">
        <f t="shared" ref="H37:H52" ca="1" si="1">G37/SUM(G$36:G$52)</f>
        <v>3.3885373884098485E-2</v>
      </c>
      <c r="I37" s="14">
        <f ca="1">PORTFOLIO!H15</f>
        <v>175.82000000000005</v>
      </c>
      <c r="J37" s="13">
        <f ca="1">PORTFOLIO!I15</f>
        <v>0.4246859903381644</v>
      </c>
    </row>
    <row r="38" spans="1:10" x14ac:dyDescent="0.25">
      <c r="A38" s="8" t="str">
        <f ca="1">PORTFOLIO!C16</f>
        <v>HALLIBURTON COMPANY</v>
      </c>
      <c r="B38" s="8"/>
      <c r="C38" s="8"/>
      <c r="D38" s="8"/>
      <c r="E38" s="9">
        <f>PORTFOLIO!D16</f>
        <v>10</v>
      </c>
      <c r="F38" s="14">
        <f ca="1">PORTFOLIO!F16</f>
        <v>21.11</v>
      </c>
      <c r="G38" s="14">
        <f ca="1"/>
        <v>211.1</v>
      </c>
      <c r="H38" s="12">
        <f t="shared" ca="1" si="1"/>
        <v>1.2127771908265556E-2</v>
      </c>
      <c r="I38" s="14">
        <f ca="1">PORTFOLIO!H16</f>
        <v>1.0999999999999943</v>
      </c>
      <c r="J38" s="13">
        <f ca="1">PORTFOLIO!I16</f>
        <v>5.238095238095211E-3</v>
      </c>
    </row>
    <row r="39" spans="1:10" x14ac:dyDescent="0.25">
      <c r="A39" s="8" t="str">
        <f ca="1">PORTFOLIO!C17</f>
        <v>QUANTUM COMPUTING INC.</v>
      </c>
      <c r="B39" s="8"/>
      <c r="C39" s="8"/>
      <c r="D39" s="8"/>
      <c r="E39" s="9">
        <f>PORTFOLIO!D17</f>
        <v>12</v>
      </c>
      <c r="F39" s="14">
        <f ca="1">PORTFOLIO!F17</f>
        <v>14.86</v>
      </c>
      <c r="G39" s="14">
        <f ca="1"/>
        <v>178.32</v>
      </c>
      <c r="H39" s="12">
        <f t="shared" ca="1" si="1"/>
        <v>1.0244548965807265E-2</v>
      </c>
      <c r="I39" s="14">
        <f ca="1">PORTFOLIO!H17</f>
        <v>-37.680000000000007</v>
      </c>
      <c r="J39" s="13">
        <f ca="1">PORTFOLIO!I17</f>
        <v>-0.17444444444444449</v>
      </c>
    </row>
    <row r="40" spans="1:10" x14ac:dyDescent="0.25">
      <c r="A40" s="8" t="str">
        <f ca="1">PORTFOLIO!C18</f>
        <v>RTX CORPORATION</v>
      </c>
      <c r="B40" s="8"/>
      <c r="C40" s="8"/>
      <c r="D40" s="8"/>
      <c r="E40" s="9">
        <f>PORTFOLIO!D18</f>
        <v>2</v>
      </c>
      <c r="F40" s="14">
        <f ca="1">PORTFOLIO!F18</f>
        <v>153.66</v>
      </c>
      <c r="G40" s="14">
        <f ca="1"/>
        <v>307.32</v>
      </c>
      <c r="H40" s="12">
        <f t="shared" ca="1" si="1"/>
        <v>1.7655645963278874E-2</v>
      </c>
      <c r="I40" s="14">
        <f ca="1">PORTFOLIO!H18</f>
        <v>-2.6800000000000068</v>
      </c>
      <c r="J40" s="13">
        <f ca="1">PORTFOLIO!I18</f>
        <v>-8.6451612903226029E-3</v>
      </c>
    </row>
    <row r="41" spans="1:10" x14ac:dyDescent="0.25">
      <c r="A41" s="8" t="str">
        <f ca="1">PORTFOLIO!C19</f>
        <v>JPMORGAN CHASE &amp; CO.</v>
      </c>
      <c r="B41" s="8"/>
      <c r="C41" s="8"/>
      <c r="D41" s="8"/>
      <c r="E41" s="9">
        <f>PORTFOLIO!D19</f>
        <v>3</v>
      </c>
      <c r="F41" s="14">
        <f ca="1">PORTFOLIO!F19</f>
        <v>290.66000000000003</v>
      </c>
      <c r="G41" s="14">
        <f ca="1"/>
        <v>871.98</v>
      </c>
      <c r="H41" s="12">
        <f t="shared" ca="1" si="1"/>
        <v>5.0095568681048787E-2</v>
      </c>
      <c r="I41" s="14">
        <f ca="1">PORTFOLIO!H19</f>
        <v>208.98000000000002</v>
      </c>
      <c r="J41" s="13">
        <f ca="1">PORTFOLIO!I19</f>
        <v>0.3152036199095023</v>
      </c>
    </row>
    <row r="42" spans="1:10" x14ac:dyDescent="0.25">
      <c r="A42" s="8" t="str">
        <f ca="1">PORTFOLIO!C20</f>
        <v>Taiwan Semiconductor Manufacturing Co., Ltd.</v>
      </c>
      <c r="B42" s="8"/>
      <c r="C42" s="8"/>
      <c r="D42" s="8"/>
      <c r="E42" s="9">
        <f>PORTFOLIO!D20</f>
        <v>5</v>
      </c>
      <c r="F42" s="14">
        <f ca="1">PORTFOLIO!F20</f>
        <v>232.7</v>
      </c>
      <c r="G42" s="14">
        <f ca="1"/>
        <v>1163.5</v>
      </c>
      <c r="H42" s="12">
        <f t="shared" ca="1" si="1"/>
        <v>6.6843498888048192E-2</v>
      </c>
      <c r="I42" s="14">
        <f ca="1">PORTFOLIO!H20</f>
        <v>23.5</v>
      </c>
      <c r="J42" s="13">
        <f ca="1">PORTFOLIO!I20</f>
        <v>2.06140350877193E-2</v>
      </c>
    </row>
    <row r="43" spans="1:10" x14ac:dyDescent="0.25">
      <c r="A43" s="8" t="str">
        <f ca="1">PORTFOLIO!C21</f>
        <v>Nintendo Co., Ltd.</v>
      </c>
      <c r="B43" s="8"/>
      <c r="C43" s="8"/>
      <c r="D43" s="8"/>
      <c r="E43" s="9">
        <f>PORTFOLIO!D21</f>
        <v>7</v>
      </c>
      <c r="F43" s="14">
        <f ca="1">PORTFOLIO!F21</f>
        <v>24.14</v>
      </c>
      <c r="G43" s="14">
        <f ca="1"/>
        <v>168.98000000000002</v>
      </c>
      <c r="H43" s="12">
        <f t="shared" ca="1" si="1"/>
        <v>9.7079625630445941E-3</v>
      </c>
      <c r="I43" s="14">
        <f ca="1">PORTFOLIO!H21</f>
        <v>28.980000000000018</v>
      </c>
      <c r="J43" s="13">
        <f ca="1">PORTFOLIO!I21</f>
        <v>0.20700000000000013</v>
      </c>
    </row>
    <row r="44" spans="1:10" x14ac:dyDescent="0.25">
      <c r="A44" s="8" t="str">
        <f ca="1">PORTFOLIO!C22</f>
        <v>COSTCO WHOLESALE CORPORATION</v>
      </c>
      <c r="B44" s="8"/>
      <c r="C44" s="8"/>
      <c r="D44" s="8"/>
      <c r="E44" s="9">
        <f>PORTFOLIO!D22</f>
        <v>5</v>
      </c>
      <c r="F44" s="14">
        <f ca="1">PORTFOLIO!F22</f>
        <v>980.85</v>
      </c>
      <c r="G44" s="14">
        <f ca="1"/>
        <v>4904.25</v>
      </c>
      <c r="H44" s="12">
        <f t="shared" ca="1" si="1"/>
        <v>0.28175094922364446</v>
      </c>
      <c r="I44" s="14">
        <f ca="1">PORTFOLIO!H22</f>
        <v>479.25</v>
      </c>
      <c r="J44" s="13">
        <f ca="1">PORTFOLIO!I22</f>
        <v>0.10830508474576271</v>
      </c>
    </row>
    <row r="45" spans="1:10" x14ac:dyDescent="0.25">
      <c r="A45" s="8" t="str">
        <f ca="1">PORTFOLIO!C23</f>
        <v>MICRON TECHNOLOGY, INC.</v>
      </c>
      <c r="B45" s="8"/>
      <c r="C45" s="8"/>
      <c r="D45" s="8"/>
      <c r="E45" s="9">
        <f>PORTFOLIO!D23</f>
        <v>3</v>
      </c>
      <c r="F45" s="14">
        <f ca="1">PORTFOLIO!F23</f>
        <v>122.05</v>
      </c>
      <c r="G45" s="14">
        <f ca="1"/>
        <v>366.15</v>
      </c>
      <c r="H45" s="12">
        <f t="shared" ca="1" si="1"/>
        <v>2.1035450896311855E-2</v>
      </c>
      <c r="I45" s="14">
        <f ca="1">PORTFOLIO!H23</f>
        <v>132.14999999999998</v>
      </c>
      <c r="J45" s="13">
        <f ca="1">PORTFOLIO!I23</f>
        <v>0.56474358974358962</v>
      </c>
    </row>
    <row r="46" spans="1:10" x14ac:dyDescent="0.25">
      <c r="A46" s="8" t="str">
        <f ca="1">PORTFOLIO!C24</f>
        <v>ALPHABET INC.</v>
      </c>
      <c r="B46" s="8"/>
      <c r="C46" s="8"/>
      <c r="D46" s="8"/>
      <c r="E46" s="9">
        <f>PORTFOLIO!D24</f>
        <v>3</v>
      </c>
      <c r="F46" s="14">
        <f ca="1">PORTFOLIO!F24</f>
        <v>202.49</v>
      </c>
      <c r="G46" s="14">
        <f ca="1"/>
        <v>607.47</v>
      </c>
      <c r="H46" s="12">
        <f t="shared" ca="1" si="1"/>
        <v>3.4899372814372699E-2</v>
      </c>
      <c r="I46" s="14">
        <f ca="1">PORTFOLIO!H24</f>
        <v>148.47000000000003</v>
      </c>
      <c r="J46" s="13">
        <f ca="1">PORTFOLIO!I24</f>
        <v>0.32346405228758174</v>
      </c>
    </row>
    <row r="47" spans="1:10" x14ac:dyDescent="0.25">
      <c r="A47" s="8" t="str">
        <f ca="1">PORTFOLIO!C25</f>
        <v>FORD MOTOR COMPANY</v>
      </c>
      <c r="B47" s="8"/>
      <c r="C47" s="8"/>
      <c r="D47" s="8"/>
      <c r="E47" s="9">
        <f>PORTFOLIO!D25</f>
        <v>3</v>
      </c>
      <c r="F47" s="14">
        <f ca="1">PORTFOLIO!F25</f>
        <v>11.58</v>
      </c>
      <c r="G47" s="14">
        <f ca="1"/>
        <v>34.74</v>
      </c>
      <c r="H47" s="12">
        <f t="shared" ca="1" si="1"/>
        <v>1.9958256565284008E-3</v>
      </c>
      <c r="I47" s="14">
        <f ca="1">PORTFOLIO!H25</f>
        <v>4.740000000000002</v>
      </c>
      <c r="J47" s="13">
        <f ca="1">PORTFOLIO!I25</f>
        <v>0.15800000000000006</v>
      </c>
    </row>
    <row r="48" spans="1:10" x14ac:dyDescent="0.25">
      <c r="A48" s="8" t="str">
        <f ca="1">PORTFOLIO!C26</f>
        <v>WALMART INC.</v>
      </c>
      <c r="B48" s="8"/>
      <c r="C48" s="8"/>
      <c r="D48" s="8"/>
      <c r="E48" s="9">
        <f>PORTFOLIO!D26</f>
        <v>2</v>
      </c>
      <c r="F48" s="14">
        <f ca="1">PORTFOLIO!F26</f>
        <v>101.29</v>
      </c>
      <c r="G48" s="14">
        <f ca="1"/>
        <v>202.58</v>
      </c>
      <c r="H48" s="12">
        <f t="shared" ca="1" si="1"/>
        <v>1.1638294804246501E-2</v>
      </c>
      <c r="I48" s="14">
        <f ca="1">PORTFOLIO!H26</f>
        <v>30.580000000000013</v>
      </c>
      <c r="J48" s="13">
        <f ca="1">PORTFOLIO!I26</f>
        <v>0.17779069767441869</v>
      </c>
    </row>
    <row r="49" spans="1:10" x14ac:dyDescent="0.25">
      <c r="A49" s="8" t="str">
        <f ca="1">PORTFOLIO!C27</f>
        <v>BERKSHIRE HATHAWAY INC.</v>
      </c>
      <c r="B49" s="8"/>
      <c r="C49" s="8"/>
      <c r="D49" s="8"/>
      <c r="E49" s="9">
        <f>PORTFOLIO!D27</f>
        <v>5</v>
      </c>
      <c r="F49" s="14">
        <f ca="1">PORTFOLIO!F27</f>
        <v>485.31</v>
      </c>
      <c r="G49" s="14">
        <f ca="1"/>
        <v>2426.5500000000002</v>
      </c>
      <c r="H49" s="12">
        <f t="shared" ca="1" si="1"/>
        <v>0.13940618154430026</v>
      </c>
      <c r="I49" s="14">
        <f ca="1">PORTFOLIO!H27</f>
        <v>161.55000000000018</v>
      </c>
      <c r="J49" s="13">
        <f ca="1">PORTFOLIO!I27</f>
        <v>7.1324503311258364E-2</v>
      </c>
    </row>
    <row r="50" spans="1:10" x14ac:dyDescent="0.25">
      <c r="A50" s="8" t="str">
        <f ca="1">PORTFOLIO!C28</f>
        <v>ADVANCED MICRO DEVICES, INC.</v>
      </c>
      <c r="B50" s="8"/>
      <c r="C50" s="8"/>
      <c r="D50" s="8"/>
      <c r="E50" s="9">
        <f>PORTFOLIO!D28</f>
        <v>5</v>
      </c>
      <c r="F50" s="14">
        <f ca="1">PORTFOLIO!F28</f>
        <v>166.55</v>
      </c>
      <c r="G50" s="14">
        <f ca="1"/>
        <v>832.75</v>
      </c>
      <c r="H50" s="12">
        <f t="shared" ca="1" si="1"/>
        <v>4.7841790888716915E-2</v>
      </c>
      <c r="I50" s="14">
        <f ca="1">PORTFOLIO!H28</f>
        <v>212.75</v>
      </c>
      <c r="J50" s="13">
        <f ca="1">PORTFOLIO!I28</f>
        <v>0.34314516129032258</v>
      </c>
    </row>
    <row r="51" spans="1:10" x14ac:dyDescent="0.25">
      <c r="A51" s="8" t="str">
        <f ca="1">PORTFOLIO!C29</f>
        <v>THE BOEING COMPANY</v>
      </c>
      <c r="B51" s="8"/>
      <c r="C51" s="8"/>
      <c r="D51" s="8"/>
      <c r="E51" s="9">
        <f>PORTFOLIO!D29</f>
        <v>7</v>
      </c>
      <c r="F51" s="14">
        <f ca="1">PORTFOLIO!F29</f>
        <v>225</v>
      </c>
      <c r="G51" s="14">
        <f ca="1"/>
        <v>1575</v>
      </c>
      <c r="H51" s="12">
        <f t="shared" ca="1" si="1"/>
        <v>9.0484323806339403E-2</v>
      </c>
      <c r="I51" s="14">
        <f ca="1">PORTFOLIO!H29</f>
        <v>322</v>
      </c>
      <c r="J51" s="13">
        <f ca="1">PORTFOLIO!I29</f>
        <v>0.25698324022346369</v>
      </c>
    </row>
    <row r="52" spans="1:10" x14ac:dyDescent="0.25">
      <c r="A52" s="8" t="str">
        <f ca="1">PORTFOLIO!C30</f>
        <v>ALPHABET INC.</v>
      </c>
      <c r="B52" s="8"/>
      <c r="C52" s="8"/>
      <c r="D52" s="8"/>
      <c r="E52" s="9">
        <f>PORTFOLIO!D30</f>
        <v>6</v>
      </c>
      <c r="F52" s="14">
        <f ca="1">PORTFOLIO!F30</f>
        <v>201.57</v>
      </c>
      <c r="G52" s="14">
        <f ca="1"/>
        <v>1209.42</v>
      </c>
      <c r="H52" s="12">
        <f t="shared" ca="1" si="1"/>
        <v>6.948161961769081E-2</v>
      </c>
      <c r="I52" s="14">
        <f ca="1">PORTFOLIO!H30</f>
        <v>39.420000000000073</v>
      </c>
      <c r="J52" s="13">
        <f ca="1">PORTFOLIO!I30</f>
        <v>3.3692307692307757E-2</v>
      </c>
    </row>
    <row r="53" spans="1:10" x14ac:dyDescent="0.25">
      <c r="A53" s="8"/>
      <c r="B53" s="8"/>
      <c r="C53" s="8"/>
      <c r="D53" s="8"/>
      <c r="E53" s="9"/>
      <c r="F53" s="9"/>
      <c r="G53" s="9"/>
      <c r="H53" s="9"/>
      <c r="I53" s="9"/>
      <c r="J53" s="9"/>
    </row>
    <row r="54" spans="1:10" x14ac:dyDescent="0.25">
      <c r="A54" s="8"/>
      <c r="B54" s="8"/>
      <c r="C54" s="8"/>
      <c r="D54" s="8"/>
      <c r="E54" s="9"/>
      <c r="F54" s="9"/>
      <c r="G54" s="9"/>
      <c r="H54" s="9"/>
      <c r="I54" s="9"/>
      <c r="J54" s="9"/>
    </row>
    <row r="55" spans="1:10" x14ac:dyDescent="0.25">
      <c r="A55" s="7"/>
      <c r="B55" s="7"/>
      <c r="C55" s="7"/>
      <c r="D55" s="7"/>
    </row>
    <row r="56" spans="1:10" x14ac:dyDescent="0.25">
      <c r="A56" s="7"/>
      <c r="B56" s="7"/>
      <c r="C56" s="7"/>
      <c r="D56" s="7"/>
    </row>
    <row r="57" spans="1:10" x14ac:dyDescent="0.25">
      <c r="A57" s="7"/>
      <c r="B57" s="7"/>
      <c r="C57" s="7"/>
      <c r="D57" s="7"/>
    </row>
    <row r="58" spans="1:10" x14ac:dyDescent="0.25">
      <c r="A58" s="7"/>
      <c r="B58" s="7"/>
      <c r="C58" s="7"/>
      <c r="D58" s="7"/>
    </row>
    <row r="59" spans="1:10" x14ac:dyDescent="0.25">
      <c r="A59" s="7"/>
      <c r="B59" s="7"/>
      <c r="C59" s="7"/>
      <c r="D59" s="7"/>
    </row>
    <row r="60" spans="1:10" x14ac:dyDescent="0.25">
      <c r="A60" s="7"/>
      <c r="B60" s="7"/>
      <c r="C60" s="7"/>
      <c r="D60" s="7"/>
    </row>
    <row r="61" spans="1:10" x14ac:dyDescent="0.25">
      <c r="A61" s="7"/>
      <c r="B61" s="7"/>
      <c r="C61" s="7"/>
      <c r="D61" s="7"/>
    </row>
    <row r="62" spans="1:10" x14ac:dyDescent="0.25">
      <c r="A62" s="7"/>
      <c r="B62" s="7"/>
      <c r="C62" s="7"/>
      <c r="D62" s="7"/>
    </row>
    <row r="63" spans="1:10" x14ac:dyDescent="0.25">
      <c r="A63" s="7"/>
      <c r="B63" s="7"/>
      <c r="C63" s="7"/>
      <c r="D63" s="7"/>
    </row>
    <row r="64" spans="1:10" x14ac:dyDescent="0.25">
      <c r="A64" s="7"/>
      <c r="B64" s="7"/>
      <c r="C64" s="7"/>
      <c r="D64" s="7"/>
    </row>
    <row r="65" spans="1:4" x14ac:dyDescent="0.25">
      <c r="A65" s="7"/>
      <c r="B65" s="7"/>
      <c r="C65" s="7"/>
      <c r="D65" s="7"/>
    </row>
    <row r="66" spans="1:4" x14ac:dyDescent="0.25">
      <c r="A66" s="7"/>
      <c r="B66" s="7"/>
      <c r="C66" s="7"/>
      <c r="D66" s="7"/>
    </row>
    <row r="67" spans="1:4" x14ac:dyDescent="0.25">
      <c r="A67" s="7"/>
      <c r="B67" s="7"/>
      <c r="C67" s="7"/>
      <c r="D67" s="7"/>
    </row>
    <row r="68" spans="1:4" x14ac:dyDescent="0.25">
      <c r="A68" s="7"/>
      <c r="B68" s="7"/>
      <c r="C68" s="7"/>
      <c r="D68" s="7"/>
    </row>
    <row r="69" spans="1:4" x14ac:dyDescent="0.25">
      <c r="A69" s="7"/>
      <c r="B69" s="7"/>
      <c r="C69" s="7"/>
      <c r="D69" s="7"/>
    </row>
    <row r="70" spans="1:4" x14ac:dyDescent="0.25">
      <c r="A70" s="7"/>
      <c r="B70" s="7"/>
      <c r="C70" s="7"/>
      <c r="D70" s="7"/>
    </row>
  </sheetData>
  <mergeCells count="59">
    <mergeCell ref="J34:J35"/>
    <mergeCell ref="G22:G23"/>
    <mergeCell ref="H22:H23"/>
    <mergeCell ref="I22:I23"/>
    <mergeCell ref="J22:J23"/>
    <mergeCell ref="A34:D35"/>
    <mergeCell ref="E34:E35"/>
    <mergeCell ref="F34:F35"/>
    <mergeCell ref="G34:G35"/>
    <mergeCell ref="H34:H35"/>
    <mergeCell ref="I34:I35"/>
    <mergeCell ref="A38:D38"/>
    <mergeCell ref="A39:D39"/>
    <mergeCell ref="A40:D40"/>
    <mergeCell ref="A22:D23"/>
    <mergeCell ref="E22:E23"/>
    <mergeCell ref="F22:F23"/>
    <mergeCell ref="A65:D65"/>
    <mergeCell ref="A66:D66"/>
    <mergeCell ref="A67:D67"/>
    <mergeCell ref="A68:D68"/>
    <mergeCell ref="A69:D69"/>
    <mergeCell ref="A70:D70"/>
    <mergeCell ref="A59:D59"/>
    <mergeCell ref="A60:D60"/>
    <mergeCell ref="A61:D61"/>
    <mergeCell ref="A62:D62"/>
    <mergeCell ref="A63:D63"/>
    <mergeCell ref="A64:D64"/>
    <mergeCell ref="A53:D53"/>
    <mergeCell ref="A54:D54"/>
    <mergeCell ref="A55:D55"/>
    <mergeCell ref="A56:D56"/>
    <mergeCell ref="A57:D57"/>
    <mergeCell ref="A58:D58"/>
    <mergeCell ref="A47:D47"/>
    <mergeCell ref="A48:D48"/>
    <mergeCell ref="A49:D49"/>
    <mergeCell ref="A50:D50"/>
    <mergeCell ref="A51:D51"/>
    <mergeCell ref="A52:D52"/>
    <mergeCell ref="A41:D41"/>
    <mergeCell ref="A42:D42"/>
    <mergeCell ref="A43:D43"/>
    <mergeCell ref="A44:D44"/>
    <mergeCell ref="A45:D45"/>
    <mergeCell ref="A46:D46"/>
    <mergeCell ref="A37:D37"/>
    <mergeCell ref="A29:D29"/>
    <mergeCell ref="A30:D30"/>
    <mergeCell ref="A31:D31"/>
    <mergeCell ref="A32:D32"/>
    <mergeCell ref="A33:D33"/>
    <mergeCell ref="A36:D36"/>
    <mergeCell ref="A24:D24"/>
    <mergeCell ref="A25:D25"/>
    <mergeCell ref="A26:D26"/>
    <mergeCell ref="A27:D27"/>
    <mergeCell ref="A28:D28"/>
  </mergeCells>
  <conditionalFormatting sqref="H24:H33">
    <cfRule type="dataBar" priority="5">
      <dataBar>
        <cfvo type="min"/>
        <cfvo type="max"/>
        <color theme="9" tint="0.39997558519241921"/>
      </dataBar>
      <extLst>
        <ext xmlns:x14="http://schemas.microsoft.com/office/spreadsheetml/2009/9/main" uri="{B025F937-C7B1-47D3-B67F-A62EFF666E3E}">
          <x14:id>{6EB393B6-CF49-4F21-A28B-21D37BFC5DD9}</x14:id>
        </ext>
      </extLst>
    </cfRule>
  </conditionalFormatting>
  <conditionalFormatting sqref="H36:H52">
    <cfRule type="dataBar" priority="4">
      <dataBar>
        <cfvo type="min"/>
        <cfvo type="max"/>
        <color theme="9" tint="0.39997558519241921"/>
      </dataBar>
      <extLst>
        <ext xmlns:x14="http://schemas.microsoft.com/office/spreadsheetml/2009/9/main" uri="{B025F937-C7B1-47D3-B67F-A62EFF666E3E}">
          <x14:id>{B680B688-1750-4E22-BF02-3F1C4CC376F8}</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6EB393B6-CF49-4F21-A28B-21D37BFC5DD9}">
            <x14:dataBar minLength="0" maxLength="100" gradient="0">
              <x14:cfvo type="autoMin"/>
              <x14:cfvo type="autoMax"/>
              <x14:negativeFillColor rgb="FFFF0000"/>
              <x14:axisColor rgb="FF000000"/>
            </x14:dataBar>
          </x14:cfRule>
          <xm:sqref>H24:H33</xm:sqref>
        </x14:conditionalFormatting>
        <x14:conditionalFormatting xmlns:xm="http://schemas.microsoft.com/office/excel/2006/main">
          <x14:cfRule type="dataBar" id="{B680B688-1750-4E22-BF02-3F1C4CC376F8}">
            <x14:dataBar minLength="0" maxLength="100" gradient="0">
              <x14:cfvo type="autoMin"/>
              <x14:cfvo type="autoMax"/>
              <x14:negativeFillColor rgb="FFFF0000"/>
              <x14:axisColor rgb="FF000000"/>
            </x14:dataBar>
          </x14:cfRule>
          <xm:sqref>H36:H52</xm:sqref>
        </x14:conditionalFormatting>
        <x14:conditionalFormatting xmlns:xm="http://schemas.microsoft.com/office/excel/2006/main">
          <x14:cfRule type="iconSet" priority="2" id="{69A53374-98AC-4751-9C2E-1EB1AA9253BD}">
            <x14:iconSet custom="1">
              <x14:cfvo type="percent">
                <xm:f>0</xm:f>
              </x14:cfvo>
              <x14:cfvo type="percent">
                <xm:f>1</xm:f>
              </x14:cfvo>
              <x14:cfvo type="percent">
                <xm:f>1</xm:f>
              </x14:cfvo>
              <x14:cfIcon iconSet="3Arrows" iconId="0"/>
              <x14:cfIcon iconSet="3Arrows" iconId="2"/>
              <x14:cfIcon iconSet="3Arrows" iconId="2"/>
            </x14:iconSet>
          </x14:cfRule>
          <xm:sqref>J24:J33</xm:sqref>
        </x14:conditionalFormatting>
        <x14:conditionalFormatting xmlns:xm="http://schemas.microsoft.com/office/excel/2006/main">
          <x14:cfRule type="iconSet" priority="1" id="{4F02A952-02FE-4D63-A52F-D27A5646DA74}">
            <x14:iconSet custom="1">
              <x14:cfvo type="percent">
                <xm:f>0</xm:f>
              </x14:cfvo>
              <x14:cfvo type="percent">
                <xm:f>1</xm:f>
              </x14:cfvo>
              <x14:cfvo type="percent">
                <xm:f>1</xm:f>
              </x14:cfvo>
              <x14:cfIcon iconSet="3Arrows" iconId="0"/>
              <x14:cfIcon iconSet="3Arrows" iconId="2"/>
              <x14:cfIcon iconSet="3Arrows" iconId="2"/>
            </x14:iconSet>
          </x14:cfRule>
          <xm:sqref>J36:J52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PORTFOLIO</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Emily Eshcoff</dc:creator>
  <cp:lastModifiedBy>Emily Eshcoff</cp:lastModifiedBy>
  <dcterms:created xsi:type="dcterms:W3CDTF">2025-08-20T08:00:58Z</dcterms:created>
  <dcterms:modified xsi:type="dcterms:W3CDTF">2025-08-20T09:55:24Z</dcterms:modified>
</cp:coreProperties>
</file>